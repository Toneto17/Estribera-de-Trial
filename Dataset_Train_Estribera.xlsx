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ita\Desktop\Portfolio\Estudio (CAD,CAM,FEM,ML) de una estribera de trial\"/>
    </mc:Choice>
  </mc:AlternateContent>
  <xr:revisionPtr revIDLastSave="0" documentId="13_ncr:1_{55A2F777-C0C9-47A9-8A19-B7200D187775}" xr6:coauthVersionLast="47" xr6:coauthVersionMax="47" xr10:uidLastSave="{00000000-0000-0000-0000-000000000000}"/>
  <bookViews>
    <workbookView xWindow="-110" yWindow="-110" windowWidth="19420" windowHeight="10300" xr2:uid="{8D207394-E67F-4559-9A15-6B51444ACD4E}"/>
  </bookViews>
  <sheets>
    <sheet name="Dataset_Simulaciones_FEA_C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O3" i="1"/>
  <c r="O4" i="1"/>
  <c r="O5" i="1"/>
  <c r="O6" i="1"/>
  <c r="O7" i="1"/>
  <c r="O8" i="1"/>
  <c r="O9" i="1"/>
  <c r="O10" i="1"/>
  <c r="O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I4" i="1"/>
  <c r="AI20" i="1"/>
  <c r="AJ2" i="1"/>
  <c r="AI5" i="1" s="1"/>
  <c r="Y3" i="1"/>
  <c r="Y4" i="1"/>
  <c r="Y5" i="1"/>
  <c r="Y6" i="1"/>
  <c r="Y7" i="1"/>
  <c r="Y8" i="1"/>
  <c r="Y9" i="1"/>
  <c r="Y10" i="1"/>
  <c r="Y11" i="1"/>
  <c r="Z11" i="1" s="1"/>
  <c r="AB11" i="1" s="1"/>
  <c r="AC11" i="1" s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" i="1"/>
  <c r="W3" i="1"/>
  <c r="W4" i="1"/>
  <c r="Z4" i="1" s="1"/>
  <c r="AB4" i="1" s="1"/>
  <c r="AC4" i="1" s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Z19" i="1" s="1"/>
  <c r="AB19" i="1" s="1"/>
  <c r="AC19" i="1" s="1"/>
  <c r="W20" i="1"/>
  <c r="Z20" i="1" s="1"/>
  <c r="AB20" i="1" s="1"/>
  <c r="AC20" i="1" s="1"/>
  <c r="W21" i="1"/>
  <c r="W22" i="1"/>
  <c r="W23" i="1"/>
  <c r="W24" i="1"/>
  <c r="W25" i="1"/>
  <c r="W26" i="1"/>
  <c r="W27" i="1"/>
  <c r="W28" i="1"/>
  <c r="Z28" i="1" s="1"/>
  <c r="AB28" i="1" s="1"/>
  <c r="AC28" i="1" s="1"/>
  <c r="W2" i="1"/>
  <c r="Z2" i="1" s="1"/>
  <c r="AB2" i="1" s="1"/>
  <c r="AC2" i="1" s="1"/>
  <c r="G14" i="1"/>
  <c r="G23" i="1" s="1"/>
  <c r="O23" i="1" s="1"/>
  <c r="G15" i="1"/>
  <c r="G24" i="1" s="1"/>
  <c r="O24" i="1" s="1"/>
  <c r="G16" i="1"/>
  <c r="G25" i="1" s="1"/>
  <c r="O25" i="1" s="1"/>
  <c r="G17" i="1"/>
  <c r="G26" i="1" s="1"/>
  <c r="O26" i="1" s="1"/>
  <c r="G18" i="1"/>
  <c r="G27" i="1" s="1"/>
  <c r="O27" i="1" s="1"/>
  <c r="G19" i="1"/>
  <c r="G28" i="1" s="1"/>
  <c r="O28" i="1" s="1"/>
  <c r="F14" i="1"/>
  <c r="F23" i="1" s="1"/>
  <c r="F15" i="1"/>
  <c r="F24" i="1" s="1"/>
  <c r="F16" i="1"/>
  <c r="F25" i="1" s="1"/>
  <c r="F17" i="1"/>
  <c r="F26" i="1" s="1"/>
  <c r="F18" i="1"/>
  <c r="F27" i="1" s="1"/>
  <c r="F19" i="1"/>
  <c r="F28" i="1" s="1"/>
  <c r="G12" i="1"/>
  <c r="G21" i="1" s="1"/>
  <c r="O21" i="1" s="1"/>
  <c r="G13" i="1"/>
  <c r="G22" i="1" s="1"/>
  <c r="O22" i="1" s="1"/>
  <c r="G11" i="1"/>
  <c r="G20" i="1" s="1"/>
  <c r="O20" i="1" s="1"/>
  <c r="F12" i="1"/>
  <c r="F21" i="1" s="1"/>
  <c r="F13" i="1"/>
  <c r="F22" i="1" s="1"/>
  <c r="F11" i="1"/>
  <c r="F20" i="1" s="1"/>
  <c r="L3" i="1"/>
  <c r="M3" i="1" s="1"/>
  <c r="N3" i="1" s="1"/>
  <c r="Q3" i="1" s="1"/>
  <c r="V3" i="1" s="1"/>
  <c r="AD3" i="1" s="1"/>
  <c r="L4" i="1"/>
  <c r="M4" i="1" s="1"/>
  <c r="N4" i="1" s="1"/>
  <c r="Q4" i="1" s="1"/>
  <c r="V4" i="1" s="1"/>
  <c r="AD4" i="1" s="1"/>
  <c r="AE4" i="1" s="1"/>
  <c r="L5" i="1"/>
  <c r="M5" i="1" s="1"/>
  <c r="N5" i="1" s="1"/>
  <c r="Q5" i="1" s="1"/>
  <c r="V5" i="1" s="1"/>
  <c r="AD5" i="1" s="1"/>
  <c r="L6" i="1"/>
  <c r="M6" i="1" s="1"/>
  <c r="N6" i="1" s="1"/>
  <c r="Q6" i="1" s="1"/>
  <c r="V6" i="1" s="1"/>
  <c r="AD6" i="1" s="1"/>
  <c r="L7" i="1"/>
  <c r="M7" i="1" s="1"/>
  <c r="N7" i="1" s="1"/>
  <c r="Q7" i="1" s="1"/>
  <c r="V7" i="1" s="1"/>
  <c r="L8" i="1"/>
  <c r="M8" i="1" s="1"/>
  <c r="N8" i="1" s="1"/>
  <c r="Q8" i="1" s="1"/>
  <c r="V8" i="1" s="1"/>
  <c r="L9" i="1"/>
  <c r="M9" i="1" s="1"/>
  <c r="N9" i="1" s="1"/>
  <c r="Q9" i="1" s="1"/>
  <c r="V9" i="1" s="1"/>
  <c r="L10" i="1"/>
  <c r="M10" i="1" s="1"/>
  <c r="N10" i="1" s="1"/>
  <c r="Q10" i="1" s="1"/>
  <c r="V10" i="1" s="1"/>
  <c r="L11" i="1"/>
  <c r="M11" i="1" s="1"/>
  <c r="N11" i="1" s="1"/>
  <c r="L12" i="1"/>
  <c r="M12" i="1" s="1"/>
  <c r="N12" i="1" s="1"/>
  <c r="L13" i="1"/>
  <c r="M13" i="1" s="1"/>
  <c r="N13" i="1" s="1"/>
  <c r="L14" i="1"/>
  <c r="M14" i="1" s="1"/>
  <c r="N14" i="1" s="1"/>
  <c r="L15" i="1"/>
  <c r="M15" i="1" s="1"/>
  <c r="N15" i="1" s="1"/>
  <c r="L16" i="1"/>
  <c r="M16" i="1" s="1"/>
  <c r="N16" i="1" s="1"/>
  <c r="L17" i="1"/>
  <c r="M17" i="1" s="1"/>
  <c r="N17" i="1" s="1"/>
  <c r="L18" i="1"/>
  <c r="M18" i="1" s="1"/>
  <c r="N18" i="1" s="1"/>
  <c r="L19" i="1"/>
  <c r="M19" i="1" s="1"/>
  <c r="N19" i="1" s="1"/>
  <c r="L20" i="1"/>
  <c r="M20" i="1" s="1"/>
  <c r="N20" i="1" s="1"/>
  <c r="L21" i="1"/>
  <c r="M21" i="1" s="1"/>
  <c r="N21" i="1" s="1"/>
  <c r="Q21" i="1" s="1"/>
  <c r="V21" i="1" s="1"/>
  <c r="AD21" i="1" s="1"/>
  <c r="L22" i="1"/>
  <c r="M22" i="1" s="1"/>
  <c r="N22" i="1" s="1"/>
  <c r="Q22" i="1" s="1"/>
  <c r="V22" i="1" s="1"/>
  <c r="AD22" i="1" s="1"/>
  <c r="L23" i="1"/>
  <c r="M23" i="1" s="1"/>
  <c r="N23" i="1" s="1"/>
  <c r="Q23" i="1" s="1"/>
  <c r="V23" i="1" s="1"/>
  <c r="L24" i="1"/>
  <c r="M24" i="1" s="1"/>
  <c r="N24" i="1" s="1"/>
  <c r="L25" i="1"/>
  <c r="M25" i="1" s="1"/>
  <c r="N25" i="1" s="1"/>
  <c r="Q25" i="1" s="1"/>
  <c r="V25" i="1" s="1"/>
  <c r="L26" i="1"/>
  <c r="M26" i="1" s="1"/>
  <c r="N26" i="1" s="1"/>
  <c r="Q26" i="1" s="1"/>
  <c r="V26" i="1" s="1"/>
  <c r="L27" i="1"/>
  <c r="M27" i="1" s="1"/>
  <c r="N27" i="1" s="1"/>
  <c r="Q27" i="1" s="1"/>
  <c r="V27" i="1" s="1"/>
  <c r="AD27" i="1" s="1"/>
  <c r="L28" i="1"/>
  <c r="M28" i="1" s="1"/>
  <c r="N28" i="1" s="1"/>
  <c r="L2" i="1"/>
  <c r="M2" i="1" s="1"/>
  <c r="N2" i="1" s="1"/>
  <c r="Q2" i="1" s="1"/>
  <c r="V2" i="1" s="1"/>
  <c r="AD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Q18" i="1" l="1"/>
  <c r="V18" i="1" s="1"/>
  <c r="Q24" i="1"/>
  <c r="V24" i="1" s="1"/>
  <c r="Q16" i="1"/>
  <c r="V16" i="1" s="1"/>
  <c r="AD16" i="1" s="1"/>
  <c r="AE16" i="1" s="1"/>
  <c r="AE2" i="1"/>
  <c r="AE5" i="1"/>
  <c r="Q28" i="1"/>
  <c r="V28" i="1" s="1"/>
  <c r="AD28" i="1" s="1"/>
  <c r="AE28" i="1" s="1"/>
  <c r="Q20" i="1"/>
  <c r="V20" i="1" s="1"/>
  <c r="AD20" i="1" s="1"/>
  <c r="AE20" i="1" s="1"/>
  <c r="AI27" i="1"/>
  <c r="AH2" i="1"/>
  <c r="O14" i="1"/>
  <c r="Q14" i="1" s="1"/>
  <c r="V14" i="1" s="1"/>
  <c r="AD14" i="1" s="1"/>
  <c r="AE14" i="1" s="1"/>
  <c r="O13" i="1"/>
  <c r="Q13" i="1" s="1"/>
  <c r="V13" i="1" s="1"/>
  <c r="AD13" i="1" s="1"/>
  <c r="AE13" i="1" s="1"/>
  <c r="Z27" i="1"/>
  <c r="AB27" i="1" s="1"/>
  <c r="AC27" i="1" s="1"/>
  <c r="AE27" i="1" s="1"/>
  <c r="Z3" i="1"/>
  <c r="AB3" i="1" s="1"/>
  <c r="AC3" i="1" s="1"/>
  <c r="AE3" i="1" s="1"/>
  <c r="AI19" i="1"/>
  <c r="O12" i="1"/>
  <c r="Q12" i="1" s="1"/>
  <c r="V12" i="1" s="1"/>
  <c r="AD12" i="1" s="1"/>
  <c r="AE12" i="1" s="1"/>
  <c r="AI12" i="1"/>
  <c r="O19" i="1"/>
  <c r="Q19" i="1" s="1"/>
  <c r="V19" i="1" s="1"/>
  <c r="AD19" i="1" s="1"/>
  <c r="AE19" i="1" s="1"/>
  <c r="O11" i="1"/>
  <c r="Q11" i="1" s="1"/>
  <c r="V11" i="1" s="1"/>
  <c r="AD11" i="1" s="1"/>
  <c r="AE11" i="1" s="1"/>
  <c r="Z12" i="1"/>
  <c r="AB12" i="1" s="1"/>
  <c r="AC12" i="1" s="1"/>
  <c r="AI11" i="1"/>
  <c r="O18" i="1"/>
  <c r="O17" i="1"/>
  <c r="Q17" i="1" s="1"/>
  <c r="V17" i="1" s="1"/>
  <c r="AD17" i="1" s="1"/>
  <c r="AE17" i="1" s="1"/>
  <c r="O16" i="1"/>
  <c r="AI28" i="1"/>
  <c r="O15" i="1"/>
  <c r="Q15" i="1" s="1"/>
  <c r="V15" i="1" s="1"/>
  <c r="AD15" i="1" s="1"/>
  <c r="AE15" i="1" s="1"/>
  <c r="AD18" i="1"/>
  <c r="AE18" i="1" s="1"/>
  <c r="AD25" i="1"/>
  <c r="AE25" i="1" s="1"/>
  <c r="AD23" i="1"/>
  <c r="AD7" i="1"/>
  <c r="AD26" i="1"/>
  <c r="AD9" i="1"/>
  <c r="AD24" i="1"/>
  <c r="AD10" i="1"/>
  <c r="AE10" i="1" s="1"/>
  <c r="AD8" i="1"/>
  <c r="AI18" i="1"/>
  <c r="AI3" i="1"/>
  <c r="AI25" i="1"/>
  <c r="AI24" i="1"/>
  <c r="AI16" i="1"/>
  <c r="AI8" i="1"/>
  <c r="AI23" i="1"/>
  <c r="AI15" i="1"/>
  <c r="AI7" i="1"/>
  <c r="AI9" i="1"/>
  <c r="AI22" i="1"/>
  <c r="AI14" i="1"/>
  <c r="AI6" i="1"/>
  <c r="AI26" i="1"/>
  <c r="AI10" i="1"/>
  <c r="AI17" i="1"/>
  <c r="AI21" i="1"/>
  <c r="AI13" i="1"/>
  <c r="Z10" i="1"/>
  <c r="AB10" i="1" s="1"/>
  <c r="AC10" i="1" s="1"/>
  <c r="Z25" i="1"/>
  <c r="AB25" i="1" s="1"/>
  <c r="AC25" i="1" s="1"/>
  <c r="Z24" i="1"/>
  <c r="AB24" i="1" s="1"/>
  <c r="AC24" i="1" s="1"/>
  <c r="Z15" i="1"/>
  <c r="AB15" i="1" s="1"/>
  <c r="AC15" i="1" s="1"/>
  <c r="Z22" i="1"/>
  <c r="AB22" i="1" s="1"/>
  <c r="AC22" i="1" s="1"/>
  <c r="AE22" i="1" s="1"/>
  <c r="Z6" i="1"/>
  <c r="AB6" i="1" s="1"/>
  <c r="AC6" i="1" s="1"/>
  <c r="AE6" i="1" s="1"/>
  <c r="Z26" i="1"/>
  <c r="AB26" i="1" s="1"/>
  <c r="AC26" i="1" s="1"/>
  <c r="Z17" i="1"/>
  <c r="AB17" i="1" s="1"/>
  <c r="AC17" i="1" s="1"/>
  <c r="Z16" i="1"/>
  <c r="AB16" i="1" s="1"/>
  <c r="AC16" i="1" s="1"/>
  <c r="Z23" i="1"/>
  <c r="AB23" i="1" s="1"/>
  <c r="AC23" i="1" s="1"/>
  <c r="Z14" i="1"/>
  <c r="AB14" i="1" s="1"/>
  <c r="AC14" i="1" s="1"/>
  <c r="Z21" i="1"/>
  <c r="AB21" i="1" s="1"/>
  <c r="AC21" i="1" s="1"/>
  <c r="AE21" i="1" s="1"/>
  <c r="Z13" i="1"/>
  <c r="AB13" i="1" s="1"/>
  <c r="AC13" i="1" s="1"/>
  <c r="Z5" i="1"/>
  <c r="AB5" i="1" s="1"/>
  <c r="AC5" i="1" s="1"/>
  <c r="Z18" i="1"/>
  <c r="AB18" i="1" s="1"/>
  <c r="AC18" i="1" s="1"/>
  <c r="Z9" i="1"/>
  <c r="AB9" i="1" s="1"/>
  <c r="AC9" i="1" s="1"/>
  <c r="Z8" i="1"/>
  <c r="AB8" i="1" s="1"/>
  <c r="AC8" i="1" s="1"/>
  <c r="Z7" i="1"/>
  <c r="AB7" i="1" s="1"/>
  <c r="AC7" i="1" s="1"/>
  <c r="AE24" i="1" l="1"/>
  <c r="AE9" i="1"/>
  <c r="AG7" i="1"/>
  <c r="AG15" i="1"/>
  <c r="AG23" i="1"/>
  <c r="AG8" i="1"/>
  <c r="AG16" i="1"/>
  <c r="AG24" i="1"/>
  <c r="AG9" i="1"/>
  <c r="AG17" i="1"/>
  <c r="AG25" i="1"/>
  <c r="AG10" i="1"/>
  <c r="AG18" i="1"/>
  <c r="AG26" i="1"/>
  <c r="AG11" i="1"/>
  <c r="AG19" i="1"/>
  <c r="AG27" i="1"/>
  <c r="AG4" i="1"/>
  <c r="AG12" i="1"/>
  <c r="AG20" i="1"/>
  <c r="AG28" i="1"/>
  <c r="AG5" i="1"/>
  <c r="AG13" i="1"/>
  <c r="AG21" i="1"/>
  <c r="AG3" i="1"/>
  <c r="AG6" i="1"/>
  <c r="AG14" i="1"/>
  <c r="AG22" i="1"/>
  <c r="AE26" i="1"/>
  <c r="AE7" i="1"/>
  <c r="AE8" i="1"/>
  <c r="AE23" i="1"/>
</calcChain>
</file>

<file path=xl/sharedStrings.xml><?xml version="1.0" encoding="utf-8"?>
<sst xmlns="http://schemas.openxmlformats.org/spreadsheetml/2006/main" count="36" uniqueCount="36">
  <si>
    <t>ID</t>
  </si>
  <si>
    <t>Largo (mm)</t>
  </si>
  <si>
    <t>Altura (mm)</t>
  </si>
  <si>
    <t>Nervio (mm)</t>
  </si>
  <si>
    <t>Masa (g)</t>
  </si>
  <si>
    <t>Deformación Max(mm)</t>
  </si>
  <si>
    <t>Tensión Max (MPa)</t>
  </si>
  <si>
    <t>Tiempo CAM (sin penal.)(min)</t>
  </si>
  <si>
    <t>Nervio Reforzado (mm)</t>
  </si>
  <si>
    <t>Longitud Horizontal Inferior (mm)</t>
  </si>
  <si>
    <t>Longitud Horizontal Superior (mm)</t>
  </si>
  <si>
    <t>Longitud Vertical (mm)</t>
  </si>
  <si>
    <t>Longitud Vertical Inclinada (mm)</t>
  </si>
  <si>
    <t>Angulo de inclinacion (deg)</t>
  </si>
  <si>
    <t>Altura total de Vaciado (mm)</t>
  </si>
  <si>
    <t>Area (mm^2)</t>
  </si>
  <si>
    <t>Numero de pasadas redondeado (n)</t>
  </si>
  <si>
    <t>Numero de pasadas sin redondear (n)</t>
  </si>
  <si>
    <t>Diametro Broca (mm)</t>
  </si>
  <si>
    <t>Tiempo Vaciado Interior (min)</t>
  </si>
  <si>
    <t>Tamaño X (mm)</t>
  </si>
  <si>
    <t>Tamaño Y (mm)</t>
  </si>
  <si>
    <t>Tamaño Z (mm)</t>
  </si>
  <si>
    <t>Densidad Aluminio (g/mm^3)</t>
  </si>
  <si>
    <t>Volumen Bloque a Fresar (mm^3)</t>
  </si>
  <si>
    <t>Peso bloque a fresar (g)</t>
  </si>
  <si>
    <t>Coste Bloque (eur)</t>
  </si>
  <si>
    <t>Coste Impresión 3D (eur)</t>
  </si>
  <si>
    <t>Coste Impresión 3D (craftcloud3d) Aluminum Alloy 6061 (eur)</t>
  </si>
  <si>
    <t>Coste Por Gramo Impresión 3D (craftcloud3d) Aluminum Alloy 6061 (eur/g)</t>
  </si>
  <si>
    <t>Coste total CNC (craftcloud3d) Aluminum 7075 (eur)</t>
  </si>
  <si>
    <t>Coste Por mm^3 CNC (craftcloud3d) Aluminum 7075 (eur/mm^3)</t>
  </si>
  <si>
    <t>Radio Circumferencia Interior (mm)</t>
  </si>
  <si>
    <t>Coste Operaciones CNC (eur)</t>
  </si>
  <si>
    <t>Coste Total CNC (eur)</t>
  </si>
  <si>
    <t>Tiempo Total CAM (con penal. *1,25)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</si>
</sst>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26</xdr:col>
      <xdr:colOff>12700</xdr:colOff>
      <xdr:row>1</xdr:row>
      <xdr:rowOff>12700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6A2041-2446-B88D-AED5-8272195AA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53250" y="412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26</xdr:col>
      <xdr:colOff>12700</xdr:colOff>
      <xdr:row>2</xdr:row>
      <xdr:rowOff>12700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2D92DC-3B63-3452-09BC-54D6C46EA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53250" y="609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12700</xdr:colOff>
      <xdr:row>3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DF1FAB-2449-9381-6374-754CFA9B8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53250" y="806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26</xdr:col>
      <xdr:colOff>0</xdr:colOff>
      <xdr:row>2</xdr:row>
      <xdr:rowOff>0</xdr:rowOff>
    </xdr:from>
    <xdr:ext cx="12700" cy="12700"/>
    <xdr:pic>
      <xdr:nvPicPr>
        <xdr:cNvPr id="5" name="Imagen 4">
          <a:extLst>
            <a:ext uri="{FF2B5EF4-FFF2-40B4-BE49-F238E27FC236}">
              <a16:creationId xmlns:a16="http://schemas.microsoft.com/office/drawing/2014/main" id="{5B3E2D6F-ADED-4F74-997D-9544CB4C9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12700" cy="12700"/>
    <xdr:pic>
      <xdr:nvPicPr>
        <xdr:cNvPr id="6" name="Imagen 5">
          <a:extLst>
            <a:ext uri="{FF2B5EF4-FFF2-40B4-BE49-F238E27FC236}">
              <a16:creationId xmlns:a16="http://schemas.microsoft.com/office/drawing/2014/main" id="{6116F5E5-62BF-4719-B74D-1D40147DC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4</xdr:row>
      <xdr:rowOff>0</xdr:rowOff>
    </xdr:from>
    <xdr:ext cx="12700" cy="12700"/>
    <xdr:pic>
      <xdr:nvPicPr>
        <xdr:cNvPr id="7" name="Imagen 6">
          <a:extLst>
            <a:ext uri="{FF2B5EF4-FFF2-40B4-BE49-F238E27FC236}">
              <a16:creationId xmlns:a16="http://schemas.microsoft.com/office/drawing/2014/main" id="{9F6192F7-59B9-4EC5-83B0-534A5EF0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12700" cy="12700"/>
    <xdr:pic>
      <xdr:nvPicPr>
        <xdr:cNvPr id="8" name="Imagen 7">
          <a:extLst>
            <a:ext uri="{FF2B5EF4-FFF2-40B4-BE49-F238E27FC236}">
              <a16:creationId xmlns:a16="http://schemas.microsoft.com/office/drawing/2014/main" id="{28BC448D-0115-4862-AB61-7B1ADD39C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12700" cy="12700"/>
    <xdr:pic>
      <xdr:nvPicPr>
        <xdr:cNvPr id="9" name="Imagen 8">
          <a:extLst>
            <a:ext uri="{FF2B5EF4-FFF2-40B4-BE49-F238E27FC236}">
              <a16:creationId xmlns:a16="http://schemas.microsoft.com/office/drawing/2014/main" id="{53952D25-5767-4E88-AECD-2764FB63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12700" cy="12700"/>
    <xdr:pic>
      <xdr:nvPicPr>
        <xdr:cNvPr id="10" name="Imagen 9">
          <a:extLst>
            <a:ext uri="{FF2B5EF4-FFF2-40B4-BE49-F238E27FC236}">
              <a16:creationId xmlns:a16="http://schemas.microsoft.com/office/drawing/2014/main" id="{23886F0A-2B88-4783-8CEA-B27111D1A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8</xdr:row>
      <xdr:rowOff>0</xdr:rowOff>
    </xdr:from>
    <xdr:ext cx="12700" cy="12700"/>
    <xdr:pic>
      <xdr:nvPicPr>
        <xdr:cNvPr id="11" name="Imagen 10">
          <a:extLst>
            <a:ext uri="{FF2B5EF4-FFF2-40B4-BE49-F238E27FC236}">
              <a16:creationId xmlns:a16="http://schemas.microsoft.com/office/drawing/2014/main" id="{93097DCE-F68D-434A-8E11-69F564E7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12700" cy="12700"/>
    <xdr:pic>
      <xdr:nvPicPr>
        <xdr:cNvPr id="12" name="Imagen 11">
          <a:extLst>
            <a:ext uri="{FF2B5EF4-FFF2-40B4-BE49-F238E27FC236}">
              <a16:creationId xmlns:a16="http://schemas.microsoft.com/office/drawing/2014/main" id="{8EB6A0E6-AB62-41DA-9F8B-508E79E03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10</xdr:row>
      <xdr:rowOff>0</xdr:rowOff>
    </xdr:from>
    <xdr:ext cx="12700" cy="12700"/>
    <xdr:pic>
      <xdr:nvPicPr>
        <xdr:cNvPr id="13" name="Imagen 12">
          <a:extLst>
            <a:ext uri="{FF2B5EF4-FFF2-40B4-BE49-F238E27FC236}">
              <a16:creationId xmlns:a16="http://schemas.microsoft.com/office/drawing/2014/main" id="{2B88FCBA-7913-4530-A9FE-90CACC61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11</xdr:row>
      <xdr:rowOff>0</xdr:rowOff>
    </xdr:from>
    <xdr:ext cx="12700" cy="12700"/>
    <xdr:pic>
      <xdr:nvPicPr>
        <xdr:cNvPr id="14" name="Imagen 13">
          <a:extLst>
            <a:ext uri="{FF2B5EF4-FFF2-40B4-BE49-F238E27FC236}">
              <a16:creationId xmlns:a16="http://schemas.microsoft.com/office/drawing/2014/main" id="{607076C2-D495-4AFA-92E4-AF02A740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12700" cy="12700"/>
    <xdr:pic>
      <xdr:nvPicPr>
        <xdr:cNvPr id="15" name="Imagen 14">
          <a:extLst>
            <a:ext uri="{FF2B5EF4-FFF2-40B4-BE49-F238E27FC236}">
              <a16:creationId xmlns:a16="http://schemas.microsoft.com/office/drawing/2014/main" id="{454F11CC-ED60-4253-AE08-226194A10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12700" cy="12700"/>
    <xdr:pic>
      <xdr:nvPicPr>
        <xdr:cNvPr id="16" name="Imagen 15">
          <a:extLst>
            <a:ext uri="{FF2B5EF4-FFF2-40B4-BE49-F238E27FC236}">
              <a16:creationId xmlns:a16="http://schemas.microsoft.com/office/drawing/2014/main" id="{A0F59A55-1381-47E4-A56C-A432E5E72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14</xdr:row>
      <xdr:rowOff>0</xdr:rowOff>
    </xdr:from>
    <xdr:ext cx="12700" cy="12700"/>
    <xdr:pic>
      <xdr:nvPicPr>
        <xdr:cNvPr id="17" name="Imagen 16">
          <a:extLst>
            <a:ext uri="{FF2B5EF4-FFF2-40B4-BE49-F238E27FC236}">
              <a16:creationId xmlns:a16="http://schemas.microsoft.com/office/drawing/2014/main" id="{5D6A2458-6056-4834-AAE9-0642DAD8A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12700" cy="12700"/>
    <xdr:pic>
      <xdr:nvPicPr>
        <xdr:cNvPr id="18" name="Imagen 17">
          <a:extLst>
            <a:ext uri="{FF2B5EF4-FFF2-40B4-BE49-F238E27FC236}">
              <a16:creationId xmlns:a16="http://schemas.microsoft.com/office/drawing/2014/main" id="{2DC00EFD-98F5-4B53-AC00-55BA6947F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12700" cy="12700"/>
    <xdr:pic>
      <xdr:nvPicPr>
        <xdr:cNvPr id="19" name="Imagen 18">
          <a:extLst>
            <a:ext uri="{FF2B5EF4-FFF2-40B4-BE49-F238E27FC236}">
              <a16:creationId xmlns:a16="http://schemas.microsoft.com/office/drawing/2014/main" id="{8219A392-A77C-4D02-B594-C73268680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17</xdr:row>
      <xdr:rowOff>0</xdr:rowOff>
    </xdr:from>
    <xdr:ext cx="12700" cy="12700"/>
    <xdr:pic>
      <xdr:nvPicPr>
        <xdr:cNvPr id="20" name="Imagen 19">
          <a:extLst>
            <a:ext uri="{FF2B5EF4-FFF2-40B4-BE49-F238E27FC236}">
              <a16:creationId xmlns:a16="http://schemas.microsoft.com/office/drawing/2014/main" id="{385D4228-5EA6-4905-AF8C-B8F87CA86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12700" cy="12700"/>
    <xdr:pic>
      <xdr:nvPicPr>
        <xdr:cNvPr id="21" name="Imagen 20">
          <a:extLst>
            <a:ext uri="{FF2B5EF4-FFF2-40B4-BE49-F238E27FC236}">
              <a16:creationId xmlns:a16="http://schemas.microsoft.com/office/drawing/2014/main" id="{F7EDDB3A-7B86-4973-B042-CD6247D01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12700" cy="12700"/>
    <xdr:pic>
      <xdr:nvPicPr>
        <xdr:cNvPr id="22" name="Imagen 21">
          <a:extLst>
            <a:ext uri="{FF2B5EF4-FFF2-40B4-BE49-F238E27FC236}">
              <a16:creationId xmlns:a16="http://schemas.microsoft.com/office/drawing/2014/main" id="{AFC27624-5E4C-4BA8-BA97-C56F2D0F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20</xdr:row>
      <xdr:rowOff>0</xdr:rowOff>
    </xdr:from>
    <xdr:ext cx="12700" cy="12700"/>
    <xdr:pic>
      <xdr:nvPicPr>
        <xdr:cNvPr id="23" name="Imagen 22">
          <a:extLst>
            <a:ext uri="{FF2B5EF4-FFF2-40B4-BE49-F238E27FC236}">
              <a16:creationId xmlns:a16="http://schemas.microsoft.com/office/drawing/2014/main" id="{8F9636B1-36E1-4D23-B65A-96CE1DD3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12700" cy="12700"/>
    <xdr:pic>
      <xdr:nvPicPr>
        <xdr:cNvPr id="24" name="Imagen 23">
          <a:extLst>
            <a:ext uri="{FF2B5EF4-FFF2-40B4-BE49-F238E27FC236}">
              <a16:creationId xmlns:a16="http://schemas.microsoft.com/office/drawing/2014/main" id="{86B855D0-1B1D-4EF4-8BAE-8BA5A4CF2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12700" cy="12700"/>
    <xdr:pic>
      <xdr:nvPicPr>
        <xdr:cNvPr id="25" name="Imagen 24">
          <a:extLst>
            <a:ext uri="{FF2B5EF4-FFF2-40B4-BE49-F238E27FC236}">
              <a16:creationId xmlns:a16="http://schemas.microsoft.com/office/drawing/2014/main" id="{92BF7EF1-0114-4513-9435-E1F5C8181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12700" cy="12700"/>
    <xdr:pic>
      <xdr:nvPicPr>
        <xdr:cNvPr id="26" name="Imagen 25">
          <a:extLst>
            <a:ext uri="{FF2B5EF4-FFF2-40B4-BE49-F238E27FC236}">
              <a16:creationId xmlns:a16="http://schemas.microsoft.com/office/drawing/2014/main" id="{B4C3BF18-D138-4B29-872E-70A3D79CA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12700" cy="12700"/>
    <xdr:pic>
      <xdr:nvPicPr>
        <xdr:cNvPr id="27" name="Imagen 26">
          <a:extLst>
            <a:ext uri="{FF2B5EF4-FFF2-40B4-BE49-F238E27FC236}">
              <a16:creationId xmlns:a16="http://schemas.microsoft.com/office/drawing/2014/main" id="{38713BB7-710C-4914-B7C0-9A3A59FF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12700" cy="12700"/>
    <xdr:pic>
      <xdr:nvPicPr>
        <xdr:cNvPr id="28" name="Imagen 27">
          <a:extLst>
            <a:ext uri="{FF2B5EF4-FFF2-40B4-BE49-F238E27FC236}">
              <a16:creationId xmlns:a16="http://schemas.microsoft.com/office/drawing/2014/main" id="{CC3700F5-3857-4A69-8A8A-6457B100E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12700" cy="12700"/>
    <xdr:pic>
      <xdr:nvPicPr>
        <xdr:cNvPr id="29" name="Imagen 28">
          <a:extLst>
            <a:ext uri="{FF2B5EF4-FFF2-40B4-BE49-F238E27FC236}">
              <a16:creationId xmlns:a16="http://schemas.microsoft.com/office/drawing/2014/main" id="{01FBEE48-6519-4304-B60C-31F49ADF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27</xdr:row>
      <xdr:rowOff>0</xdr:rowOff>
    </xdr:from>
    <xdr:ext cx="12700" cy="12700"/>
    <xdr:pic>
      <xdr:nvPicPr>
        <xdr:cNvPr id="30" name="Imagen 29">
          <a:extLst>
            <a:ext uri="{FF2B5EF4-FFF2-40B4-BE49-F238E27FC236}">
              <a16:creationId xmlns:a16="http://schemas.microsoft.com/office/drawing/2014/main" id="{451093D5-5D4C-42F6-92C5-CD7197122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28</xdr:row>
      <xdr:rowOff>0</xdr:rowOff>
    </xdr:from>
    <xdr:ext cx="12700" cy="12700"/>
    <xdr:pic>
      <xdr:nvPicPr>
        <xdr:cNvPr id="31" name="Imagen 30">
          <a:extLst>
            <a:ext uri="{FF2B5EF4-FFF2-40B4-BE49-F238E27FC236}">
              <a16:creationId xmlns:a16="http://schemas.microsoft.com/office/drawing/2014/main" id="{407BBE0E-713E-4EE5-812A-0EB49C05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12700" cy="12700"/>
    <xdr:pic>
      <xdr:nvPicPr>
        <xdr:cNvPr id="32" name="Imagen 31">
          <a:extLst>
            <a:ext uri="{FF2B5EF4-FFF2-40B4-BE49-F238E27FC236}">
              <a16:creationId xmlns:a16="http://schemas.microsoft.com/office/drawing/2014/main" id="{2301D397-3F65-43E9-BDBC-673EC53F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30</xdr:row>
      <xdr:rowOff>0</xdr:rowOff>
    </xdr:from>
    <xdr:ext cx="12700" cy="12700"/>
    <xdr:pic>
      <xdr:nvPicPr>
        <xdr:cNvPr id="33" name="Imagen 32">
          <a:extLst>
            <a:ext uri="{FF2B5EF4-FFF2-40B4-BE49-F238E27FC236}">
              <a16:creationId xmlns:a16="http://schemas.microsoft.com/office/drawing/2014/main" id="{B034A7F6-B8E7-4BF2-87E7-D80E7EAC1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31</xdr:row>
      <xdr:rowOff>0</xdr:rowOff>
    </xdr:from>
    <xdr:ext cx="12700" cy="12700"/>
    <xdr:pic>
      <xdr:nvPicPr>
        <xdr:cNvPr id="34" name="Imagen 33">
          <a:extLst>
            <a:ext uri="{FF2B5EF4-FFF2-40B4-BE49-F238E27FC236}">
              <a16:creationId xmlns:a16="http://schemas.microsoft.com/office/drawing/2014/main" id="{6677EE19-22C4-4B5C-9637-7FBF909C7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32</xdr:row>
      <xdr:rowOff>0</xdr:rowOff>
    </xdr:from>
    <xdr:ext cx="12700" cy="12700"/>
    <xdr:pic>
      <xdr:nvPicPr>
        <xdr:cNvPr id="35" name="Imagen 34">
          <a:extLst>
            <a:ext uri="{FF2B5EF4-FFF2-40B4-BE49-F238E27FC236}">
              <a16:creationId xmlns:a16="http://schemas.microsoft.com/office/drawing/2014/main" id="{971E90C9-D1C8-4B1C-8A76-2217778EF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33</xdr:row>
      <xdr:rowOff>0</xdr:rowOff>
    </xdr:from>
    <xdr:ext cx="12700" cy="12700"/>
    <xdr:pic>
      <xdr:nvPicPr>
        <xdr:cNvPr id="36" name="Imagen 35">
          <a:extLst>
            <a:ext uri="{FF2B5EF4-FFF2-40B4-BE49-F238E27FC236}">
              <a16:creationId xmlns:a16="http://schemas.microsoft.com/office/drawing/2014/main" id="{5B0BDB10-22EC-4E74-B150-73C7EA4B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34</xdr:row>
      <xdr:rowOff>0</xdr:rowOff>
    </xdr:from>
    <xdr:ext cx="12700" cy="12700"/>
    <xdr:pic>
      <xdr:nvPicPr>
        <xdr:cNvPr id="37" name="Imagen 36">
          <a:extLst>
            <a:ext uri="{FF2B5EF4-FFF2-40B4-BE49-F238E27FC236}">
              <a16:creationId xmlns:a16="http://schemas.microsoft.com/office/drawing/2014/main" id="{1FDFF689-41E0-49B2-9AE3-FB84DC09A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35</xdr:row>
      <xdr:rowOff>0</xdr:rowOff>
    </xdr:from>
    <xdr:ext cx="12700" cy="12700"/>
    <xdr:pic>
      <xdr:nvPicPr>
        <xdr:cNvPr id="38" name="Imagen 37">
          <a:extLst>
            <a:ext uri="{FF2B5EF4-FFF2-40B4-BE49-F238E27FC236}">
              <a16:creationId xmlns:a16="http://schemas.microsoft.com/office/drawing/2014/main" id="{A1C81825-66D5-4BC6-AD81-71CFD44D7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36</xdr:row>
      <xdr:rowOff>0</xdr:rowOff>
    </xdr:from>
    <xdr:ext cx="12700" cy="12700"/>
    <xdr:pic>
      <xdr:nvPicPr>
        <xdr:cNvPr id="39" name="Imagen 38">
          <a:extLst>
            <a:ext uri="{FF2B5EF4-FFF2-40B4-BE49-F238E27FC236}">
              <a16:creationId xmlns:a16="http://schemas.microsoft.com/office/drawing/2014/main" id="{8E847290-2260-40A4-B626-C5FD7A864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37</xdr:row>
      <xdr:rowOff>0</xdr:rowOff>
    </xdr:from>
    <xdr:ext cx="12700" cy="12700"/>
    <xdr:pic>
      <xdr:nvPicPr>
        <xdr:cNvPr id="40" name="Imagen 39">
          <a:extLst>
            <a:ext uri="{FF2B5EF4-FFF2-40B4-BE49-F238E27FC236}">
              <a16:creationId xmlns:a16="http://schemas.microsoft.com/office/drawing/2014/main" id="{DFAF4A00-DCBC-45A8-8B1F-FF77755B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38</xdr:row>
      <xdr:rowOff>0</xdr:rowOff>
    </xdr:from>
    <xdr:ext cx="12700" cy="12700"/>
    <xdr:pic>
      <xdr:nvPicPr>
        <xdr:cNvPr id="41" name="Imagen 40">
          <a:extLst>
            <a:ext uri="{FF2B5EF4-FFF2-40B4-BE49-F238E27FC236}">
              <a16:creationId xmlns:a16="http://schemas.microsoft.com/office/drawing/2014/main" id="{84D83E58-A829-46F4-B9C1-68CFD5A7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39</xdr:row>
      <xdr:rowOff>0</xdr:rowOff>
    </xdr:from>
    <xdr:ext cx="12700" cy="12700"/>
    <xdr:pic>
      <xdr:nvPicPr>
        <xdr:cNvPr id="42" name="Imagen 41">
          <a:extLst>
            <a:ext uri="{FF2B5EF4-FFF2-40B4-BE49-F238E27FC236}">
              <a16:creationId xmlns:a16="http://schemas.microsoft.com/office/drawing/2014/main" id="{F1E63D37-37AD-4EA5-ADB8-2601C65FD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0059" y="410882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119F-500D-4575-A5E3-BCB16A5B3FCC}">
  <dimension ref="A1:AJ40"/>
  <sheetViews>
    <sheetView tabSelected="1" zoomScale="85" zoomScaleNormal="85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J29" sqref="AJ29"/>
    </sheetView>
  </sheetViews>
  <sheetFormatPr baseColWidth="10" defaultRowHeight="14.5" x14ac:dyDescent="0.35"/>
  <cols>
    <col min="6" max="8" width="14.7265625" customWidth="1"/>
    <col min="9" max="9" width="28.08984375" bestFit="1" customWidth="1"/>
    <col min="10" max="12" width="14.7265625" customWidth="1"/>
    <col min="13" max="13" width="14.7265625" style="1" customWidth="1"/>
    <col min="14" max="15" width="14.7265625" customWidth="1"/>
    <col min="16" max="16" width="18.81640625" bestFit="1" customWidth="1"/>
    <col min="17" max="17" width="25.36328125" bestFit="1" customWidth="1"/>
    <col min="19" max="19" width="21.453125" customWidth="1"/>
    <col min="20" max="20" width="19.90625" customWidth="1"/>
    <col min="21" max="21" width="24.7265625" bestFit="1" customWidth="1"/>
    <col min="22" max="22" width="36" bestFit="1" customWidth="1"/>
    <col min="23" max="31" width="25.36328125" customWidth="1"/>
    <col min="32" max="32" width="17.26953125" customWidth="1"/>
    <col min="33" max="33" width="45.1796875" bestFit="1" customWidth="1"/>
    <col min="34" max="34" width="50.26953125" bestFit="1" customWidth="1"/>
    <col min="35" max="35" width="52.7265625" bestFit="1" customWidth="1"/>
    <col min="36" max="36" width="63.7265625" bestFit="1" customWidth="1"/>
  </cols>
  <sheetData>
    <row r="1" spans="1:36" ht="32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32</v>
      </c>
      <c r="L1" t="s">
        <v>14</v>
      </c>
      <c r="M1" s="1" t="s">
        <v>17</v>
      </c>
      <c r="N1" t="s">
        <v>16</v>
      </c>
      <c r="O1" t="s">
        <v>15</v>
      </c>
      <c r="P1" t="s">
        <v>18</v>
      </c>
      <c r="Q1" t="s">
        <v>19</v>
      </c>
      <c r="R1" t="s">
        <v>4</v>
      </c>
      <c r="S1" t="s">
        <v>6</v>
      </c>
      <c r="T1" t="s">
        <v>5</v>
      </c>
      <c r="U1" t="s">
        <v>7</v>
      </c>
      <c r="V1" t="s">
        <v>35</v>
      </c>
      <c r="W1" t="s">
        <v>20</v>
      </c>
      <c r="X1" t="s">
        <v>21</v>
      </c>
      <c r="Y1" t="s">
        <v>22</v>
      </c>
      <c r="Z1" t="s">
        <v>24</v>
      </c>
      <c r="AA1" t="s">
        <v>23</v>
      </c>
      <c r="AB1" t="s">
        <v>25</v>
      </c>
      <c r="AC1" t="s">
        <v>26</v>
      </c>
      <c r="AD1" t="s">
        <v>33</v>
      </c>
      <c r="AE1" t="s">
        <v>34</v>
      </c>
      <c r="AF1" t="s">
        <v>27</v>
      </c>
      <c r="AG1" t="s">
        <v>30</v>
      </c>
      <c r="AH1" t="s">
        <v>31</v>
      </c>
      <c r="AI1" t="s">
        <v>28</v>
      </c>
      <c r="AJ1" t="s">
        <v>29</v>
      </c>
    </row>
    <row r="2" spans="1:36" x14ac:dyDescent="0.35">
      <c r="A2">
        <v>1</v>
      </c>
      <c r="B2">
        <v>60</v>
      </c>
      <c r="C2">
        <v>12</v>
      </c>
      <c r="D2">
        <v>17</v>
      </c>
      <c r="E2">
        <f>D2+5</f>
        <v>22</v>
      </c>
      <c r="F2">
        <v>38</v>
      </c>
      <c r="G2">
        <v>25.89</v>
      </c>
      <c r="H2">
        <v>8.89</v>
      </c>
      <c r="I2">
        <v>17.13</v>
      </c>
      <c r="J2">
        <v>45</v>
      </c>
      <c r="K2">
        <v>10.5</v>
      </c>
      <c r="L2">
        <f t="shared" ref="L2:L28" si="0">C2+5</f>
        <v>17</v>
      </c>
      <c r="M2" s="1">
        <f>L2/5</f>
        <v>3.4</v>
      </c>
      <c r="N2" s="1">
        <f>ROUNDUP(M2,0)</f>
        <v>4</v>
      </c>
      <c r="O2">
        <f>((PI())*K2^2)/2+G2*55+H2*(F2-G2)+((I2*COS(RADIANS(J2)))^2)/2</f>
        <v>1778.1474200291373</v>
      </c>
      <c r="P2">
        <v>5</v>
      </c>
      <c r="Q2">
        <f>ROUND((N2*O2/P2)/((150*1000/(PI()*P2))*0.02*2),2)</f>
        <v>3.72</v>
      </c>
      <c r="R2">
        <v>101.13</v>
      </c>
      <c r="S2">
        <v>321.25</v>
      </c>
      <c r="T2">
        <v>1.1012</v>
      </c>
      <c r="U2">
        <v>15.05</v>
      </c>
      <c r="V2">
        <f>(U2+Q2)*1.25</f>
        <v>23.462499999999999</v>
      </c>
      <c r="W2">
        <f>B2+27.5+35</f>
        <v>122.5</v>
      </c>
      <c r="X2">
        <v>55</v>
      </c>
      <c r="Y2">
        <f>C2+5</f>
        <v>17</v>
      </c>
      <c r="Z2">
        <f>W2*X2*Y2</f>
        <v>114537.5</v>
      </c>
      <c r="AA2">
        <v>2.81E-3</v>
      </c>
      <c r="AB2">
        <f>AA2*Z2</f>
        <v>321.85037499999999</v>
      </c>
      <c r="AC2">
        <f>0.01*AB2</f>
        <v>3.21850375</v>
      </c>
      <c r="AD2">
        <f>V2*0.5</f>
        <v>11.731249999999999</v>
      </c>
      <c r="AE2">
        <f>AC2+AD2</f>
        <v>14.949753749999999</v>
      </c>
      <c r="AF2">
        <f>R2*0.7</f>
        <v>70.790999999999997</v>
      </c>
      <c r="AG2">
        <v>237.44</v>
      </c>
      <c r="AH2">
        <f>AG2/Z2</f>
        <v>2.0730328495034379E-3</v>
      </c>
      <c r="AI2">
        <v>51.6</v>
      </c>
      <c r="AJ2">
        <f>AI2/R2</f>
        <v>0.51023435182438448</v>
      </c>
    </row>
    <row r="3" spans="1:36" x14ac:dyDescent="0.35">
      <c r="A3">
        <v>2</v>
      </c>
      <c r="B3">
        <v>60</v>
      </c>
      <c r="C3">
        <v>12</v>
      </c>
      <c r="D3">
        <v>12</v>
      </c>
      <c r="E3">
        <f t="shared" ref="E3:E28" si="1">D3+5</f>
        <v>17</v>
      </c>
      <c r="F3">
        <v>43</v>
      </c>
      <c r="G3">
        <v>27.96</v>
      </c>
      <c r="H3">
        <v>15.96</v>
      </c>
      <c r="I3">
        <v>21.27</v>
      </c>
      <c r="J3">
        <v>45</v>
      </c>
      <c r="K3">
        <v>15.5</v>
      </c>
      <c r="L3">
        <f t="shared" si="0"/>
        <v>17</v>
      </c>
      <c r="M3" s="1">
        <f t="shared" ref="M3:M28" si="2">L3/5</f>
        <v>3.4</v>
      </c>
      <c r="N3" s="1">
        <f t="shared" ref="N3:N28" si="3">ROUNDUP(M3,0)</f>
        <v>4</v>
      </c>
      <c r="O3">
        <f t="shared" ref="O3:O28" si="4">((PI())*K3^2)/2+G3*55+H3*(F3-G3)+((I3*COS(RADIANS(J3)))^2)/2</f>
        <v>2268.3254425124737</v>
      </c>
      <c r="P3">
        <v>5</v>
      </c>
      <c r="Q3">
        <f t="shared" ref="Q3:Q28" si="5">ROUND((N3*O3/P3)/((150*1000/(PI()*P3))*0.02*2),2)</f>
        <v>4.75</v>
      </c>
      <c r="R3">
        <v>91.69</v>
      </c>
      <c r="S3">
        <v>337.92</v>
      </c>
      <c r="T3">
        <v>1.2687999999999999</v>
      </c>
      <c r="U3">
        <v>9.48</v>
      </c>
      <c r="V3">
        <f t="shared" ref="V3:V28" si="6">(U3+Q3)*1.25</f>
        <v>17.787500000000001</v>
      </c>
      <c r="W3">
        <f t="shared" ref="W3:W28" si="7">B3+27.5+35</f>
        <v>122.5</v>
      </c>
      <c r="X3">
        <v>55</v>
      </c>
      <c r="Y3">
        <f t="shared" ref="Y3:Y28" si="8">C3+5</f>
        <v>17</v>
      </c>
      <c r="Z3">
        <f t="shared" ref="Z3:Z28" si="9">W3*X3*Y3</f>
        <v>114537.5</v>
      </c>
      <c r="AA3">
        <v>2.81E-3</v>
      </c>
      <c r="AB3">
        <f t="shared" ref="AB3:AB28" si="10">AA3*Z3</f>
        <v>321.85037499999999</v>
      </c>
      <c r="AC3">
        <f t="shared" ref="AC3:AC28" si="11">0.01*AB3</f>
        <v>3.21850375</v>
      </c>
      <c r="AD3">
        <f t="shared" ref="AD3:AD28" si="12">V3*0.5</f>
        <v>8.8937500000000007</v>
      </c>
      <c r="AE3">
        <f t="shared" ref="AE3:AE28" si="13">AC3+AD3</f>
        <v>12.112253750000001</v>
      </c>
      <c r="AF3">
        <f t="shared" ref="AF3:AF28" si="14">R3*0.7</f>
        <v>64.182999999999993</v>
      </c>
      <c r="AG3">
        <f>$AH$2*Z3</f>
        <v>237.44000000000003</v>
      </c>
      <c r="AI3">
        <f>$AJ$2*R3</f>
        <v>46.78338771877781</v>
      </c>
    </row>
    <row r="4" spans="1:36" x14ac:dyDescent="0.35">
      <c r="A4">
        <v>3</v>
      </c>
      <c r="B4">
        <v>60</v>
      </c>
      <c r="C4">
        <v>12</v>
      </c>
      <c r="D4">
        <v>16</v>
      </c>
      <c r="E4">
        <f t="shared" si="1"/>
        <v>21</v>
      </c>
      <c r="F4">
        <v>39</v>
      </c>
      <c r="G4">
        <v>26.3</v>
      </c>
      <c r="H4">
        <v>10.3</v>
      </c>
      <c r="I4">
        <v>17.96</v>
      </c>
      <c r="J4">
        <v>45</v>
      </c>
      <c r="K4">
        <v>11.5</v>
      </c>
      <c r="L4">
        <f t="shared" si="0"/>
        <v>17</v>
      </c>
      <c r="M4" s="1">
        <f t="shared" si="2"/>
        <v>3.4</v>
      </c>
      <c r="N4" s="1">
        <f t="shared" si="3"/>
        <v>4</v>
      </c>
      <c r="O4">
        <f t="shared" si="4"/>
        <v>1865.688214218625</v>
      </c>
      <c r="P4">
        <v>5</v>
      </c>
      <c r="Q4">
        <f t="shared" si="5"/>
        <v>3.91</v>
      </c>
      <c r="R4">
        <v>99.42</v>
      </c>
      <c r="S4">
        <v>326.23</v>
      </c>
      <c r="T4">
        <v>1.1228</v>
      </c>
      <c r="U4">
        <v>13.89</v>
      </c>
      <c r="V4">
        <f t="shared" si="6"/>
        <v>22.25</v>
      </c>
      <c r="W4">
        <f t="shared" si="7"/>
        <v>122.5</v>
      </c>
      <c r="X4">
        <v>55</v>
      </c>
      <c r="Y4">
        <f t="shared" si="8"/>
        <v>17</v>
      </c>
      <c r="Z4">
        <f t="shared" si="9"/>
        <v>114537.5</v>
      </c>
      <c r="AA4">
        <v>2.81E-3</v>
      </c>
      <c r="AB4">
        <f t="shared" si="10"/>
        <v>321.85037499999999</v>
      </c>
      <c r="AC4">
        <f t="shared" si="11"/>
        <v>3.21850375</v>
      </c>
      <c r="AD4">
        <f t="shared" si="12"/>
        <v>11.125</v>
      </c>
      <c r="AE4">
        <f t="shared" si="13"/>
        <v>14.34350375</v>
      </c>
      <c r="AF4">
        <f t="shared" si="14"/>
        <v>69.593999999999994</v>
      </c>
      <c r="AG4">
        <f t="shared" ref="AG4:AG28" si="15">$AH$2*Z4</f>
        <v>237.44000000000003</v>
      </c>
      <c r="AI4">
        <f t="shared" ref="AI4:AI28" si="16">$AJ$2*R4</f>
        <v>50.727499258380305</v>
      </c>
    </row>
    <row r="5" spans="1:36" x14ac:dyDescent="0.35">
      <c r="A5">
        <v>4</v>
      </c>
      <c r="B5">
        <v>60</v>
      </c>
      <c r="C5">
        <v>14</v>
      </c>
      <c r="D5">
        <v>17</v>
      </c>
      <c r="E5">
        <f t="shared" si="1"/>
        <v>22</v>
      </c>
      <c r="F5">
        <v>38</v>
      </c>
      <c r="G5">
        <v>25.89</v>
      </c>
      <c r="H5">
        <v>8.89</v>
      </c>
      <c r="I5">
        <v>17.13</v>
      </c>
      <c r="J5">
        <v>45</v>
      </c>
      <c r="K5">
        <v>10.5</v>
      </c>
      <c r="L5">
        <f t="shared" si="0"/>
        <v>19</v>
      </c>
      <c r="M5" s="1">
        <f t="shared" si="2"/>
        <v>3.8</v>
      </c>
      <c r="N5" s="1">
        <f t="shared" si="3"/>
        <v>4</v>
      </c>
      <c r="O5">
        <f t="shared" si="4"/>
        <v>1778.1474200291373</v>
      </c>
      <c r="P5">
        <v>5</v>
      </c>
      <c r="Q5">
        <f t="shared" si="5"/>
        <v>3.72</v>
      </c>
      <c r="R5">
        <v>109.67</v>
      </c>
      <c r="S5">
        <v>225.43</v>
      </c>
      <c r="T5">
        <v>0.80289999999999995</v>
      </c>
      <c r="U5">
        <v>15.05</v>
      </c>
      <c r="V5">
        <f t="shared" si="6"/>
        <v>23.462499999999999</v>
      </c>
      <c r="W5">
        <f t="shared" si="7"/>
        <v>122.5</v>
      </c>
      <c r="X5">
        <v>55</v>
      </c>
      <c r="Y5">
        <f t="shared" si="8"/>
        <v>19</v>
      </c>
      <c r="Z5">
        <f t="shared" si="9"/>
        <v>128012.5</v>
      </c>
      <c r="AA5">
        <v>2.81E-3</v>
      </c>
      <c r="AB5">
        <f t="shared" si="10"/>
        <v>359.715125</v>
      </c>
      <c r="AC5">
        <f t="shared" si="11"/>
        <v>3.59715125</v>
      </c>
      <c r="AD5">
        <f t="shared" si="12"/>
        <v>11.731249999999999</v>
      </c>
      <c r="AE5">
        <f t="shared" si="13"/>
        <v>15.328401249999999</v>
      </c>
      <c r="AF5">
        <f t="shared" si="14"/>
        <v>76.768999999999991</v>
      </c>
      <c r="AG5">
        <f t="shared" si="15"/>
        <v>265.37411764705882</v>
      </c>
      <c r="AI5">
        <f t="shared" si="16"/>
        <v>55.957401364580249</v>
      </c>
    </row>
    <row r="6" spans="1:36" x14ac:dyDescent="0.35">
      <c r="A6">
        <v>5</v>
      </c>
      <c r="B6">
        <v>60</v>
      </c>
      <c r="C6">
        <v>14</v>
      </c>
      <c r="D6">
        <v>12</v>
      </c>
      <c r="E6">
        <f t="shared" si="1"/>
        <v>17</v>
      </c>
      <c r="F6">
        <v>43</v>
      </c>
      <c r="G6">
        <v>27.96</v>
      </c>
      <c r="H6">
        <v>15.96</v>
      </c>
      <c r="I6">
        <v>21.27</v>
      </c>
      <c r="J6">
        <v>45</v>
      </c>
      <c r="K6">
        <v>15.5</v>
      </c>
      <c r="L6">
        <f t="shared" si="0"/>
        <v>19</v>
      </c>
      <c r="M6" s="1">
        <f t="shared" si="2"/>
        <v>3.8</v>
      </c>
      <c r="N6" s="1">
        <f t="shared" si="3"/>
        <v>4</v>
      </c>
      <c r="O6">
        <f t="shared" si="4"/>
        <v>2268.3254425124737</v>
      </c>
      <c r="P6">
        <v>5</v>
      </c>
      <c r="Q6">
        <f t="shared" si="5"/>
        <v>4.75</v>
      </c>
      <c r="R6">
        <v>100.22</v>
      </c>
      <c r="S6">
        <v>235.82</v>
      </c>
      <c r="T6">
        <v>0.90569999999999995</v>
      </c>
      <c r="U6">
        <v>9.48</v>
      </c>
      <c r="V6">
        <f t="shared" si="6"/>
        <v>17.787500000000001</v>
      </c>
      <c r="W6">
        <f t="shared" si="7"/>
        <v>122.5</v>
      </c>
      <c r="X6">
        <v>55</v>
      </c>
      <c r="Y6">
        <f t="shared" si="8"/>
        <v>19</v>
      </c>
      <c r="Z6">
        <f t="shared" si="9"/>
        <v>128012.5</v>
      </c>
      <c r="AA6">
        <v>2.81E-3</v>
      </c>
      <c r="AB6">
        <f t="shared" si="10"/>
        <v>359.715125</v>
      </c>
      <c r="AC6">
        <f t="shared" si="11"/>
        <v>3.59715125</v>
      </c>
      <c r="AD6">
        <f t="shared" si="12"/>
        <v>8.8937500000000007</v>
      </c>
      <c r="AE6">
        <f t="shared" si="13"/>
        <v>12.49090125</v>
      </c>
      <c r="AF6">
        <f t="shared" si="14"/>
        <v>70.153999999999996</v>
      </c>
      <c r="AG6">
        <f t="shared" si="15"/>
        <v>265.37411764705882</v>
      </c>
      <c r="AI6">
        <f t="shared" si="16"/>
        <v>51.135686739839812</v>
      </c>
    </row>
    <row r="7" spans="1:36" x14ac:dyDescent="0.35">
      <c r="A7">
        <v>6</v>
      </c>
      <c r="B7">
        <v>60</v>
      </c>
      <c r="C7">
        <v>14</v>
      </c>
      <c r="D7">
        <v>16</v>
      </c>
      <c r="E7">
        <f t="shared" si="1"/>
        <v>21</v>
      </c>
      <c r="F7">
        <v>39</v>
      </c>
      <c r="G7">
        <v>26.3</v>
      </c>
      <c r="H7">
        <v>10.3</v>
      </c>
      <c r="I7">
        <v>17.96</v>
      </c>
      <c r="J7">
        <v>45</v>
      </c>
      <c r="K7">
        <v>11.5</v>
      </c>
      <c r="L7">
        <f t="shared" si="0"/>
        <v>19</v>
      </c>
      <c r="M7" s="1">
        <f t="shared" si="2"/>
        <v>3.8</v>
      </c>
      <c r="N7" s="1">
        <f t="shared" si="3"/>
        <v>4</v>
      </c>
      <c r="O7">
        <f t="shared" si="4"/>
        <v>1865.688214218625</v>
      </c>
      <c r="P7">
        <v>5</v>
      </c>
      <c r="Q7">
        <f t="shared" si="5"/>
        <v>3.91</v>
      </c>
      <c r="R7">
        <v>107.96</v>
      </c>
      <c r="S7">
        <v>231.6</v>
      </c>
      <c r="T7">
        <v>0.81530000000000002</v>
      </c>
      <c r="U7">
        <v>13.88</v>
      </c>
      <c r="V7">
        <f t="shared" si="6"/>
        <v>22.237499999999997</v>
      </c>
      <c r="W7">
        <f t="shared" si="7"/>
        <v>122.5</v>
      </c>
      <c r="X7">
        <v>55</v>
      </c>
      <c r="Y7">
        <f t="shared" si="8"/>
        <v>19</v>
      </c>
      <c r="Z7">
        <f t="shared" si="9"/>
        <v>128012.5</v>
      </c>
      <c r="AA7">
        <v>2.81E-3</v>
      </c>
      <c r="AB7">
        <f t="shared" si="10"/>
        <v>359.715125</v>
      </c>
      <c r="AC7">
        <f t="shared" si="11"/>
        <v>3.59715125</v>
      </c>
      <c r="AD7">
        <f t="shared" si="12"/>
        <v>11.118749999999999</v>
      </c>
      <c r="AE7">
        <f t="shared" si="13"/>
        <v>14.715901249999998</v>
      </c>
      <c r="AF7">
        <f t="shared" si="14"/>
        <v>75.571999999999989</v>
      </c>
      <c r="AG7">
        <f t="shared" si="15"/>
        <v>265.37411764705882</v>
      </c>
      <c r="AI7">
        <f t="shared" si="16"/>
        <v>55.084900622960546</v>
      </c>
    </row>
    <row r="8" spans="1:36" x14ac:dyDescent="0.35">
      <c r="A8">
        <v>7</v>
      </c>
      <c r="B8">
        <v>60</v>
      </c>
      <c r="C8">
        <v>17</v>
      </c>
      <c r="D8">
        <v>17</v>
      </c>
      <c r="E8">
        <f t="shared" si="1"/>
        <v>22</v>
      </c>
      <c r="F8">
        <v>38</v>
      </c>
      <c r="G8">
        <v>25.89</v>
      </c>
      <c r="H8">
        <v>8.89</v>
      </c>
      <c r="I8">
        <v>17.13</v>
      </c>
      <c r="J8">
        <v>45</v>
      </c>
      <c r="K8">
        <v>10.5</v>
      </c>
      <c r="L8">
        <f t="shared" si="0"/>
        <v>22</v>
      </c>
      <c r="M8" s="1">
        <f t="shared" si="2"/>
        <v>4.4000000000000004</v>
      </c>
      <c r="N8" s="1">
        <f t="shared" si="3"/>
        <v>5</v>
      </c>
      <c r="O8">
        <f t="shared" si="4"/>
        <v>1778.1474200291373</v>
      </c>
      <c r="P8">
        <v>5</v>
      </c>
      <c r="Q8">
        <f t="shared" si="5"/>
        <v>4.66</v>
      </c>
      <c r="R8">
        <v>122.48</v>
      </c>
      <c r="S8">
        <v>269.62</v>
      </c>
      <c r="T8">
        <v>0.57250000000000001</v>
      </c>
      <c r="U8">
        <v>15.07</v>
      </c>
      <c r="V8">
        <f t="shared" si="6"/>
        <v>24.662500000000001</v>
      </c>
      <c r="W8">
        <f t="shared" si="7"/>
        <v>122.5</v>
      </c>
      <c r="X8">
        <v>55</v>
      </c>
      <c r="Y8">
        <f t="shared" si="8"/>
        <v>22</v>
      </c>
      <c r="Z8">
        <f t="shared" si="9"/>
        <v>148225</v>
      </c>
      <c r="AA8">
        <v>2.81E-3</v>
      </c>
      <c r="AB8">
        <f t="shared" si="10"/>
        <v>416.51224999999999</v>
      </c>
      <c r="AC8">
        <f t="shared" si="11"/>
        <v>4.1651224999999998</v>
      </c>
      <c r="AD8">
        <f t="shared" si="12"/>
        <v>12.331250000000001</v>
      </c>
      <c r="AE8">
        <f t="shared" si="13"/>
        <v>16.4963725</v>
      </c>
      <c r="AF8">
        <f t="shared" si="14"/>
        <v>85.736000000000004</v>
      </c>
      <c r="AG8">
        <f t="shared" si="15"/>
        <v>307.27529411764709</v>
      </c>
      <c r="AI8">
        <f t="shared" si="16"/>
        <v>62.493503411450611</v>
      </c>
    </row>
    <row r="9" spans="1:36" x14ac:dyDescent="0.35">
      <c r="A9">
        <v>8</v>
      </c>
      <c r="B9">
        <v>60</v>
      </c>
      <c r="C9">
        <v>17</v>
      </c>
      <c r="D9">
        <v>12</v>
      </c>
      <c r="E9">
        <f t="shared" si="1"/>
        <v>17</v>
      </c>
      <c r="F9">
        <v>43</v>
      </c>
      <c r="G9">
        <v>27.96</v>
      </c>
      <c r="H9">
        <v>15.96</v>
      </c>
      <c r="I9">
        <v>21.27</v>
      </c>
      <c r="J9">
        <v>45</v>
      </c>
      <c r="K9">
        <v>15.5</v>
      </c>
      <c r="L9">
        <f t="shared" si="0"/>
        <v>22</v>
      </c>
      <c r="M9" s="1">
        <f t="shared" si="2"/>
        <v>4.4000000000000004</v>
      </c>
      <c r="N9" s="1">
        <f t="shared" si="3"/>
        <v>5</v>
      </c>
      <c r="O9">
        <f t="shared" si="4"/>
        <v>2268.3254425124737</v>
      </c>
      <c r="P9">
        <v>5</v>
      </c>
      <c r="Q9">
        <f t="shared" si="5"/>
        <v>5.94</v>
      </c>
      <c r="R9">
        <v>113.03</v>
      </c>
      <c r="S9">
        <v>287.67</v>
      </c>
      <c r="T9">
        <v>0.63249999999999995</v>
      </c>
      <c r="U9">
        <v>9.5</v>
      </c>
      <c r="V9">
        <f t="shared" si="6"/>
        <v>19.3</v>
      </c>
      <c r="W9">
        <f t="shared" si="7"/>
        <v>122.5</v>
      </c>
      <c r="X9">
        <v>55</v>
      </c>
      <c r="Y9">
        <f t="shared" si="8"/>
        <v>22</v>
      </c>
      <c r="Z9">
        <f t="shared" si="9"/>
        <v>148225</v>
      </c>
      <c r="AA9">
        <v>2.81E-3</v>
      </c>
      <c r="AB9">
        <f t="shared" si="10"/>
        <v>416.51224999999999</v>
      </c>
      <c r="AC9">
        <f t="shared" si="11"/>
        <v>4.1651224999999998</v>
      </c>
      <c r="AD9">
        <f t="shared" si="12"/>
        <v>9.65</v>
      </c>
      <c r="AE9">
        <f t="shared" si="13"/>
        <v>13.815122500000001</v>
      </c>
      <c r="AF9">
        <f t="shared" si="14"/>
        <v>79.120999999999995</v>
      </c>
      <c r="AG9">
        <f t="shared" si="15"/>
        <v>307.27529411764709</v>
      </c>
      <c r="AI9">
        <f t="shared" si="16"/>
        <v>57.671788786710181</v>
      </c>
    </row>
    <row r="10" spans="1:36" x14ac:dyDescent="0.35">
      <c r="A10">
        <v>9</v>
      </c>
      <c r="B10">
        <v>60</v>
      </c>
      <c r="C10">
        <v>17</v>
      </c>
      <c r="D10">
        <v>16</v>
      </c>
      <c r="E10">
        <f t="shared" si="1"/>
        <v>21</v>
      </c>
      <c r="F10">
        <v>39</v>
      </c>
      <c r="G10">
        <v>26.3</v>
      </c>
      <c r="H10">
        <v>10.3</v>
      </c>
      <c r="I10">
        <v>17.96</v>
      </c>
      <c r="J10">
        <v>45</v>
      </c>
      <c r="K10">
        <v>11.5</v>
      </c>
      <c r="L10">
        <f t="shared" si="0"/>
        <v>22</v>
      </c>
      <c r="M10" s="1">
        <f t="shared" si="2"/>
        <v>4.4000000000000004</v>
      </c>
      <c r="N10" s="1">
        <f t="shared" si="3"/>
        <v>5</v>
      </c>
      <c r="O10">
        <f t="shared" si="4"/>
        <v>1865.688214218625</v>
      </c>
      <c r="P10">
        <v>5</v>
      </c>
      <c r="Q10">
        <f t="shared" si="5"/>
        <v>4.88</v>
      </c>
      <c r="R10">
        <v>120.77</v>
      </c>
      <c r="S10">
        <v>282.02999999999997</v>
      </c>
      <c r="T10">
        <v>0.57989999999999997</v>
      </c>
      <c r="U10">
        <v>13.9</v>
      </c>
      <c r="V10">
        <f t="shared" si="6"/>
        <v>23.475000000000001</v>
      </c>
      <c r="W10">
        <f t="shared" si="7"/>
        <v>122.5</v>
      </c>
      <c r="X10">
        <v>55</v>
      </c>
      <c r="Y10">
        <f t="shared" si="8"/>
        <v>22</v>
      </c>
      <c r="Z10">
        <f t="shared" si="9"/>
        <v>148225</v>
      </c>
      <c r="AA10">
        <v>2.81E-3</v>
      </c>
      <c r="AB10">
        <f t="shared" si="10"/>
        <v>416.51224999999999</v>
      </c>
      <c r="AC10">
        <f t="shared" si="11"/>
        <v>4.1651224999999998</v>
      </c>
      <c r="AD10">
        <f t="shared" si="12"/>
        <v>11.737500000000001</v>
      </c>
      <c r="AE10">
        <f t="shared" si="13"/>
        <v>15.9026225</v>
      </c>
      <c r="AF10">
        <f t="shared" si="14"/>
        <v>84.538999999999987</v>
      </c>
      <c r="AG10">
        <f t="shared" si="15"/>
        <v>307.27529411764709</v>
      </c>
      <c r="AI10">
        <f t="shared" si="16"/>
        <v>61.621002669830915</v>
      </c>
    </row>
    <row r="11" spans="1:36" x14ac:dyDescent="0.35">
      <c r="A11">
        <v>10</v>
      </c>
      <c r="B11">
        <v>65</v>
      </c>
      <c r="C11">
        <v>12</v>
      </c>
      <c r="D11">
        <v>17</v>
      </c>
      <c r="E11">
        <f t="shared" si="1"/>
        <v>22</v>
      </c>
      <c r="F11">
        <f>F2+5</f>
        <v>43</v>
      </c>
      <c r="G11">
        <f>G2+5</f>
        <v>30.89</v>
      </c>
      <c r="H11">
        <v>8.89</v>
      </c>
      <c r="I11">
        <v>17.13</v>
      </c>
      <c r="J11">
        <v>45</v>
      </c>
      <c r="K11">
        <v>10.5</v>
      </c>
      <c r="L11">
        <f t="shared" si="0"/>
        <v>17</v>
      </c>
      <c r="M11" s="1">
        <f t="shared" si="2"/>
        <v>3.4</v>
      </c>
      <c r="N11" s="1">
        <f t="shared" si="3"/>
        <v>4</v>
      </c>
      <c r="O11">
        <f t="shared" si="4"/>
        <v>2053.1474200291373</v>
      </c>
      <c r="P11">
        <v>5</v>
      </c>
      <c r="Q11">
        <f t="shared" si="5"/>
        <v>4.3</v>
      </c>
      <c r="R11">
        <v>105.08</v>
      </c>
      <c r="S11">
        <v>358.87</v>
      </c>
      <c r="T11">
        <v>1.3385</v>
      </c>
      <c r="U11">
        <v>15.61</v>
      </c>
      <c r="V11">
        <f t="shared" si="6"/>
        <v>24.887499999999999</v>
      </c>
      <c r="W11">
        <f t="shared" si="7"/>
        <v>127.5</v>
      </c>
      <c r="X11">
        <v>55</v>
      </c>
      <c r="Y11">
        <f t="shared" si="8"/>
        <v>17</v>
      </c>
      <c r="Z11">
        <f t="shared" si="9"/>
        <v>119212.5</v>
      </c>
      <c r="AA11">
        <v>2.81E-3</v>
      </c>
      <c r="AB11">
        <f t="shared" si="10"/>
        <v>334.98712499999999</v>
      </c>
      <c r="AC11">
        <f t="shared" si="11"/>
        <v>3.3498712500000001</v>
      </c>
      <c r="AD11">
        <f t="shared" si="12"/>
        <v>12.44375</v>
      </c>
      <c r="AE11">
        <f t="shared" si="13"/>
        <v>15.793621249999999</v>
      </c>
      <c r="AF11">
        <f t="shared" si="14"/>
        <v>73.555999999999997</v>
      </c>
      <c r="AG11">
        <f t="shared" si="15"/>
        <v>247.13142857142859</v>
      </c>
      <c r="AI11">
        <f t="shared" si="16"/>
        <v>53.615425689706321</v>
      </c>
    </row>
    <row r="12" spans="1:36" x14ac:dyDescent="0.35">
      <c r="A12">
        <v>11</v>
      </c>
      <c r="B12">
        <v>65</v>
      </c>
      <c r="C12">
        <v>12</v>
      </c>
      <c r="D12">
        <v>12</v>
      </c>
      <c r="E12">
        <f t="shared" si="1"/>
        <v>17</v>
      </c>
      <c r="F12">
        <f t="shared" ref="F12:G13" si="17">F3+5</f>
        <v>48</v>
      </c>
      <c r="G12">
        <f t="shared" si="17"/>
        <v>32.96</v>
      </c>
      <c r="H12">
        <v>15.96</v>
      </c>
      <c r="I12">
        <v>21.27</v>
      </c>
      <c r="J12">
        <v>45</v>
      </c>
      <c r="K12">
        <v>15.5</v>
      </c>
      <c r="L12">
        <f t="shared" si="0"/>
        <v>17</v>
      </c>
      <c r="M12" s="1">
        <f t="shared" si="2"/>
        <v>3.4</v>
      </c>
      <c r="N12" s="1">
        <f t="shared" si="3"/>
        <v>4</v>
      </c>
      <c r="O12">
        <f t="shared" si="4"/>
        <v>2543.3254425124737</v>
      </c>
      <c r="P12">
        <v>5</v>
      </c>
      <c r="Q12">
        <f t="shared" si="5"/>
        <v>5.33</v>
      </c>
      <c r="R12">
        <v>94.97</v>
      </c>
      <c r="S12">
        <v>378.47</v>
      </c>
      <c r="T12">
        <v>1.5490999999999999</v>
      </c>
      <c r="U12">
        <v>9.68</v>
      </c>
      <c r="V12">
        <f t="shared" si="6"/>
        <v>18.762499999999999</v>
      </c>
      <c r="W12">
        <f t="shared" si="7"/>
        <v>127.5</v>
      </c>
      <c r="X12">
        <v>55</v>
      </c>
      <c r="Y12">
        <f t="shared" si="8"/>
        <v>17</v>
      </c>
      <c r="Z12">
        <f t="shared" si="9"/>
        <v>119212.5</v>
      </c>
      <c r="AA12">
        <v>2.81E-3</v>
      </c>
      <c r="AB12">
        <f t="shared" si="10"/>
        <v>334.98712499999999</v>
      </c>
      <c r="AC12">
        <f t="shared" si="11"/>
        <v>3.3498712500000001</v>
      </c>
      <c r="AD12">
        <f t="shared" si="12"/>
        <v>9.3812499999999996</v>
      </c>
      <c r="AE12">
        <f t="shared" si="13"/>
        <v>12.731121249999999</v>
      </c>
      <c r="AF12">
        <f t="shared" si="14"/>
        <v>66.478999999999999</v>
      </c>
      <c r="AG12">
        <f t="shared" si="15"/>
        <v>247.13142857142859</v>
      </c>
      <c r="AI12">
        <f t="shared" si="16"/>
        <v>48.456956392761796</v>
      </c>
    </row>
    <row r="13" spans="1:36" x14ac:dyDescent="0.35">
      <c r="A13">
        <v>12</v>
      </c>
      <c r="B13">
        <v>65</v>
      </c>
      <c r="C13">
        <v>12</v>
      </c>
      <c r="D13">
        <v>16</v>
      </c>
      <c r="E13">
        <f t="shared" si="1"/>
        <v>21</v>
      </c>
      <c r="F13">
        <f t="shared" si="17"/>
        <v>44</v>
      </c>
      <c r="G13">
        <f t="shared" si="17"/>
        <v>31.3</v>
      </c>
      <c r="H13">
        <v>10.3</v>
      </c>
      <c r="I13">
        <v>17.96</v>
      </c>
      <c r="J13">
        <v>45</v>
      </c>
      <c r="K13">
        <v>11.5</v>
      </c>
      <c r="L13">
        <f t="shared" si="0"/>
        <v>17</v>
      </c>
      <c r="M13" s="1">
        <f t="shared" si="2"/>
        <v>3.4</v>
      </c>
      <c r="N13" s="1">
        <f t="shared" si="3"/>
        <v>4</v>
      </c>
      <c r="O13">
        <f t="shared" si="4"/>
        <v>2140.6882142186255</v>
      </c>
      <c r="P13">
        <v>5</v>
      </c>
      <c r="Q13">
        <f t="shared" si="5"/>
        <v>4.4800000000000004</v>
      </c>
      <c r="R13">
        <v>103.24</v>
      </c>
      <c r="S13">
        <v>369.13</v>
      </c>
      <c r="T13">
        <v>1.3646</v>
      </c>
      <c r="U13">
        <v>14.45</v>
      </c>
      <c r="V13">
        <f t="shared" si="6"/>
        <v>23.662500000000001</v>
      </c>
      <c r="W13">
        <f t="shared" si="7"/>
        <v>127.5</v>
      </c>
      <c r="X13">
        <v>55</v>
      </c>
      <c r="Y13">
        <f t="shared" si="8"/>
        <v>17</v>
      </c>
      <c r="Z13">
        <f t="shared" si="9"/>
        <v>119212.5</v>
      </c>
      <c r="AA13">
        <v>2.81E-3</v>
      </c>
      <c r="AB13">
        <f t="shared" si="10"/>
        <v>334.98712499999999</v>
      </c>
      <c r="AC13">
        <f t="shared" si="11"/>
        <v>3.3498712500000001</v>
      </c>
      <c r="AD13">
        <f t="shared" si="12"/>
        <v>11.831250000000001</v>
      </c>
      <c r="AE13">
        <f t="shared" si="13"/>
        <v>15.18112125</v>
      </c>
      <c r="AF13">
        <f t="shared" si="14"/>
        <v>72.267999999999986</v>
      </c>
      <c r="AG13">
        <f t="shared" si="15"/>
        <v>247.13142857142859</v>
      </c>
      <c r="AI13">
        <f t="shared" si="16"/>
        <v>52.676594482349451</v>
      </c>
    </row>
    <row r="14" spans="1:36" x14ac:dyDescent="0.35">
      <c r="A14">
        <v>13</v>
      </c>
      <c r="B14">
        <v>65</v>
      </c>
      <c r="C14">
        <v>14</v>
      </c>
      <c r="D14">
        <v>17</v>
      </c>
      <c r="E14">
        <f t="shared" si="1"/>
        <v>22</v>
      </c>
      <c r="F14">
        <f t="shared" ref="F14:G14" si="18">F5+5</f>
        <v>43</v>
      </c>
      <c r="G14">
        <f t="shared" si="18"/>
        <v>30.89</v>
      </c>
      <c r="H14">
        <v>8.89</v>
      </c>
      <c r="I14">
        <v>17.13</v>
      </c>
      <c r="J14">
        <v>45</v>
      </c>
      <c r="K14">
        <v>10.5</v>
      </c>
      <c r="L14">
        <f t="shared" si="0"/>
        <v>19</v>
      </c>
      <c r="M14" s="1">
        <f t="shared" si="2"/>
        <v>3.8</v>
      </c>
      <c r="N14" s="1">
        <f t="shared" si="3"/>
        <v>4</v>
      </c>
      <c r="O14">
        <f t="shared" si="4"/>
        <v>2053.1474200291373</v>
      </c>
      <c r="P14">
        <v>5</v>
      </c>
      <c r="Q14">
        <f t="shared" si="5"/>
        <v>4.3</v>
      </c>
      <c r="R14">
        <v>114</v>
      </c>
      <c r="S14">
        <v>283.45</v>
      </c>
      <c r="T14">
        <v>0.96519999999999995</v>
      </c>
      <c r="U14">
        <v>15.61</v>
      </c>
      <c r="V14">
        <f t="shared" si="6"/>
        <v>24.887499999999999</v>
      </c>
      <c r="W14">
        <f t="shared" si="7"/>
        <v>127.5</v>
      </c>
      <c r="X14">
        <v>55</v>
      </c>
      <c r="Y14">
        <f t="shared" si="8"/>
        <v>19</v>
      </c>
      <c r="Z14">
        <f t="shared" si="9"/>
        <v>133237.5</v>
      </c>
      <c r="AA14">
        <v>2.81E-3</v>
      </c>
      <c r="AB14">
        <f t="shared" si="10"/>
        <v>374.39737500000001</v>
      </c>
      <c r="AC14">
        <f t="shared" si="11"/>
        <v>3.7439737500000003</v>
      </c>
      <c r="AD14">
        <f t="shared" si="12"/>
        <v>12.44375</v>
      </c>
      <c r="AE14">
        <f t="shared" si="13"/>
        <v>16.18772375</v>
      </c>
      <c r="AF14">
        <f t="shared" si="14"/>
        <v>79.8</v>
      </c>
      <c r="AG14">
        <f t="shared" si="15"/>
        <v>276.20571428571429</v>
      </c>
      <c r="AI14">
        <f t="shared" si="16"/>
        <v>58.16671610797983</v>
      </c>
    </row>
    <row r="15" spans="1:36" x14ac:dyDescent="0.35">
      <c r="A15">
        <v>14</v>
      </c>
      <c r="B15">
        <v>65</v>
      </c>
      <c r="C15">
        <v>14</v>
      </c>
      <c r="D15">
        <v>12</v>
      </c>
      <c r="E15">
        <f t="shared" si="1"/>
        <v>17</v>
      </c>
      <c r="F15">
        <f t="shared" ref="F15:G15" si="19">F6+5</f>
        <v>48</v>
      </c>
      <c r="G15">
        <f t="shared" si="19"/>
        <v>32.96</v>
      </c>
      <c r="H15">
        <v>15.96</v>
      </c>
      <c r="I15">
        <v>21.27</v>
      </c>
      <c r="J15">
        <v>45</v>
      </c>
      <c r="K15">
        <v>15.5</v>
      </c>
      <c r="L15">
        <f t="shared" si="0"/>
        <v>19</v>
      </c>
      <c r="M15" s="1">
        <f t="shared" si="2"/>
        <v>3.8</v>
      </c>
      <c r="N15" s="1">
        <f t="shared" si="3"/>
        <v>4</v>
      </c>
      <c r="O15">
        <f t="shared" si="4"/>
        <v>2543.3254425124737</v>
      </c>
      <c r="P15">
        <v>5</v>
      </c>
      <c r="Q15">
        <f t="shared" si="5"/>
        <v>5.33</v>
      </c>
      <c r="R15">
        <v>103.88</v>
      </c>
      <c r="S15">
        <v>301.57</v>
      </c>
      <c r="T15">
        <v>1.0952</v>
      </c>
      <c r="U15">
        <v>9.68</v>
      </c>
      <c r="V15">
        <f t="shared" si="6"/>
        <v>18.762499999999999</v>
      </c>
      <c r="W15">
        <f t="shared" si="7"/>
        <v>127.5</v>
      </c>
      <c r="X15">
        <v>55</v>
      </c>
      <c r="Y15">
        <f t="shared" si="8"/>
        <v>19</v>
      </c>
      <c r="Z15">
        <f t="shared" si="9"/>
        <v>133237.5</v>
      </c>
      <c r="AA15">
        <v>2.81E-3</v>
      </c>
      <c r="AB15">
        <f t="shared" si="10"/>
        <v>374.39737500000001</v>
      </c>
      <c r="AC15">
        <f t="shared" si="11"/>
        <v>3.7439737500000003</v>
      </c>
      <c r="AD15">
        <f t="shared" si="12"/>
        <v>9.3812499999999996</v>
      </c>
      <c r="AE15">
        <f t="shared" si="13"/>
        <v>13.12522375</v>
      </c>
      <c r="AF15">
        <f t="shared" si="14"/>
        <v>72.715999999999994</v>
      </c>
      <c r="AG15">
        <f t="shared" si="15"/>
        <v>276.20571428571429</v>
      </c>
      <c r="AI15">
        <f t="shared" si="16"/>
        <v>53.00314446751706</v>
      </c>
    </row>
    <row r="16" spans="1:36" x14ac:dyDescent="0.35">
      <c r="A16">
        <v>15</v>
      </c>
      <c r="B16">
        <v>65</v>
      </c>
      <c r="C16">
        <v>14</v>
      </c>
      <c r="D16">
        <v>16</v>
      </c>
      <c r="E16">
        <f t="shared" si="1"/>
        <v>21</v>
      </c>
      <c r="F16">
        <f t="shared" ref="F16:G16" si="20">F7+5</f>
        <v>44</v>
      </c>
      <c r="G16">
        <f t="shared" si="20"/>
        <v>31.3</v>
      </c>
      <c r="H16">
        <v>10.3</v>
      </c>
      <c r="I16">
        <v>17.96</v>
      </c>
      <c r="J16">
        <v>45</v>
      </c>
      <c r="K16">
        <v>11.5</v>
      </c>
      <c r="L16">
        <f t="shared" si="0"/>
        <v>19</v>
      </c>
      <c r="M16" s="1">
        <f t="shared" si="2"/>
        <v>3.8</v>
      </c>
      <c r="N16" s="1">
        <f t="shared" si="3"/>
        <v>4</v>
      </c>
      <c r="O16">
        <f t="shared" si="4"/>
        <v>2140.6882142186255</v>
      </c>
      <c r="P16">
        <v>5</v>
      </c>
      <c r="Q16">
        <f t="shared" si="5"/>
        <v>4.4800000000000004</v>
      </c>
      <c r="R16">
        <v>112.16</v>
      </c>
      <c r="S16">
        <v>286.44</v>
      </c>
      <c r="T16">
        <v>0.98119999999999996</v>
      </c>
      <c r="U16">
        <v>14.45</v>
      </c>
      <c r="V16">
        <f t="shared" si="6"/>
        <v>23.662500000000001</v>
      </c>
      <c r="W16">
        <f t="shared" si="7"/>
        <v>127.5</v>
      </c>
      <c r="X16">
        <v>55</v>
      </c>
      <c r="Y16">
        <f t="shared" si="8"/>
        <v>19</v>
      </c>
      <c r="Z16">
        <f t="shared" si="9"/>
        <v>133237.5</v>
      </c>
      <c r="AA16">
        <v>2.81E-3</v>
      </c>
      <c r="AB16">
        <f t="shared" si="10"/>
        <v>374.39737500000001</v>
      </c>
      <c r="AC16">
        <f t="shared" si="11"/>
        <v>3.7439737500000003</v>
      </c>
      <c r="AD16">
        <f t="shared" si="12"/>
        <v>11.831250000000001</v>
      </c>
      <c r="AE16">
        <f t="shared" si="13"/>
        <v>15.575223750000001</v>
      </c>
      <c r="AF16">
        <f t="shared" si="14"/>
        <v>78.511999999999986</v>
      </c>
      <c r="AG16">
        <f t="shared" si="15"/>
        <v>276.20571428571429</v>
      </c>
      <c r="AI16">
        <f t="shared" si="16"/>
        <v>57.227884900622961</v>
      </c>
    </row>
    <row r="17" spans="1:35" x14ac:dyDescent="0.35">
      <c r="A17">
        <v>16</v>
      </c>
      <c r="B17">
        <v>65</v>
      </c>
      <c r="C17">
        <v>17</v>
      </c>
      <c r="D17">
        <v>17</v>
      </c>
      <c r="E17">
        <f t="shared" si="1"/>
        <v>22</v>
      </c>
      <c r="F17">
        <f t="shared" ref="F17:G17" si="21">F8+5</f>
        <v>43</v>
      </c>
      <c r="G17">
        <f t="shared" si="21"/>
        <v>30.89</v>
      </c>
      <c r="H17">
        <v>8.89</v>
      </c>
      <c r="I17">
        <v>17.13</v>
      </c>
      <c r="J17">
        <v>45</v>
      </c>
      <c r="K17">
        <v>10.5</v>
      </c>
      <c r="L17">
        <f t="shared" si="0"/>
        <v>22</v>
      </c>
      <c r="M17" s="1">
        <f t="shared" si="2"/>
        <v>4.4000000000000004</v>
      </c>
      <c r="N17" s="1">
        <f t="shared" si="3"/>
        <v>5</v>
      </c>
      <c r="O17">
        <f t="shared" si="4"/>
        <v>2053.1474200291373</v>
      </c>
      <c r="P17">
        <v>5</v>
      </c>
      <c r="Q17">
        <f t="shared" si="5"/>
        <v>5.38</v>
      </c>
      <c r="R17">
        <v>127.38</v>
      </c>
      <c r="S17">
        <v>299.75</v>
      </c>
      <c r="T17">
        <v>0.67969999999999997</v>
      </c>
      <c r="U17">
        <v>15.63</v>
      </c>
      <c r="V17">
        <f t="shared" si="6"/>
        <v>26.262500000000003</v>
      </c>
      <c r="W17">
        <f t="shared" si="7"/>
        <v>127.5</v>
      </c>
      <c r="X17">
        <v>55</v>
      </c>
      <c r="Y17">
        <f t="shared" si="8"/>
        <v>22</v>
      </c>
      <c r="Z17">
        <f t="shared" si="9"/>
        <v>154275</v>
      </c>
      <c r="AA17">
        <v>2.81E-3</v>
      </c>
      <c r="AB17">
        <f t="shared" si="10"/>
        <v>433.51274999999998</v>
      </c>
      <c r="AC17">
        <f t="shared" si="11"/>
        <v>4.3351274999999996</v>
      </c>
      <c r="AD17">
        <f t="shared" si="12"/>
        <v>13.131250000000001</v>
      </c>
      <c r="AE17">
        <f t="shared" si="13"/>
        <v>17.4663775</v>
      </c>
      <c r="AF17">
        <f t="shared" si="14"/>
        <v>89.165999999999997</v>
      </c>
      <c r="AG17">
        <f t="shared" si="15"/>
        <v>319.81714285714287</v>
      </c>
      <c r="AI17">
        <f t="shared" si="16"/>
        <v>64.993651735390088</v>
      </c>
    </row>
    <row r="18" spans="1:35" x14ac:dyDescent="0.35">
      <c r="A18">
        <v>17</v>
      </c>
      <c r="B18">
        <v>65</v>
      </c>
      <c r="C18">
        <v>17</v>
      </c>
      <c r="D18">
        <v>12</v>
      </c>
      <c r="E18">
        <f t="shared" si="1"/>
        <v>17</v>
      </c>
      <c r="F18">
        <f t="shared" ref="F18:G18" si="22">F9+5</f>
        <v>48</v>
      </c>
      <c r="G18">
        <f t="shared" si="22"/>
        <v>32.96</v>
      </c>
      <c r="H18">
        <v>15.96</v>
      </c>
      <c r="I18">
        <v>21.27</v>
      </c>
      <c r="J18">
        <v>45</v>
      </c>
      <c r="K18">
        <v>15.5</v>
      </c>
      <c r="L18">
        <f t="shared" si="0"/>
        <v>22</v>
      </c>
      <c r="M18" s="1">
        <f t="shared" si="2"/>
        <v>4.4000000000000004</v>
      </c>
      <c r="N18" s="1">
        <f t="shared" si="3"/>
        <v>5</v>
      </c>
      <c r="O18">
        <f t="shared" si="4"/>
        <v>2543.3254425124737</v>
      </c>
      <c r="P18">
        <v>5</v>
      </c>
      <c r="Q18">
        <f t="shared" si="5"/>
        <v>6.66</v>
      </c>
      <c r="R18">
        <v>117.26</v>
      </c>
      <c r="S18">
        <v>287.85000000000002</v>
      </c>
      <c r="T18">
        <v>0.75480000000000003</v>
      </c>
      <c r="U18">
        <v>9.69</v>
      </c>
      <c r="V18">
        <f t="shared" si="6"/>
        <v>20.4375</v>
      </c>
      <c r="W18">
        <f t="shared" si="7"/>
        <v>127.5</v>
      </c>
      <c r="X18">
        <v>55</v>
      </c>
      <c r="Y18">
        <f t="shared" si="8"/>
        <v>22</v>
      </c>
      <c r="Z18">
        <f t="shared" si="9"/>
        <v>154275</v>
      </c>
      <c r="AA18">
        <v>2.81E-3</v>
      </c>
      <c r="AB18">
        <f t="shared" si="10"/>
        <v>433.51274999999998</v>
      </c>
      <c r="AC18">
        <f t="shared" si="11"/>
        <v>4.3351274999999996</v>
      </c>
      <c r="AD18">
        <f t="shared" si="12"/>
        <v>10.21875</v>
      </c>
      <c r="AE18">
        <f t="shared" si="13"/>
        <v>14.553877499999999</v>
      </c>
      <c r="AF18">
        <f t="shared" si="14"/>
        <v>82.081999999999994</v>
      </c>
      <c r="AG18">
        <f t="shared" si="15"/>
        <v>319.81714285714287</v>
      </c>
      <c r="AI18">
        <f t="shared" si="16"/>
        <v>59.830080094927325</v>
      </c>
    </row>
    <row r="19" spans="1:35" x14ac:dyDescent="0.35">
      <c r="A19">
        <v>18</v>
      </c>
      <c r="B19">
        <v>65</v>
      </c>
      <c r="C19">
        <v>17</v>
      </c>
      <c r="D19">
        <v>16</v>
      </c>
      <c r="E19">
        <f t="shared" si="1"/>
        <v>21</v>
      </c>
      <c r="F19">
        <f t="shared" ref="F19:G20" si="23">F10+5</f>
        <v>44</v>
      </c>
      <c r="G19">
        <f t="shared" si="23"/>
        <v>31.3</v>
      </c>
      <c r="H19">
        <v>10.3</v>
      </c>
      <c r="I19">
        <v>17.96</v>
      </c>
      <c r="J19">
        <v>45</v>
      </c>
      <c r="K19">
        <v>11.5</v>
      </c>
      <c r="L19">
        <f t="shared" si="0"/>
        <v>22</v>
      </c>
      <c r="M19" s="1">
        <f t="shared" si="2"/>
        <v>4.4000000000000004</v>
      </c>
      <c r="N19" s="1">
        <f t="shared" si="3"/>
        <v>5</v>
      </c>
      <c r="O19">
        <f t="shared" si="4"/>
        <v>2140.6882142186255</v>
      </c>
      <c r="P19">
        <v>5</v>
      </c>
      <c r="Q19">
        <f t="shared" si="5"/>
        <v>5.6</v>
      </c>
      <c r="R19">
        <v>125.54</v>
      </c>
      <c r="S19">
        <v>275.14999999999998</v>
      </c>
      <c r="T19">
        <v>0.68910000000000005</v>
      </c>
      <c r="U19">
        <v>14.46</v>
      </c>
      <c r="V19">
        <f t="shared" si="6"/>
        <v>25.075000000000003</v>
      </c>
      <c r="W19">
        <f t="shared" si="7"/>
        <v>127.5</v>
      </c>
      <c r="X19">
        <v>55</v>
      </c>
      <c r="Y19">
        <f t="shared" si="8"/>
        <v>22</v>
      </c>
      <c r="Z19">
        <f t="shared" si="9"/>
        <v>154275</v>
      </c>
      <c r="AA19">
        <v>2.81E-3</v>
      </c>
      <c r="AB19">
        <f t="shared" si="10"/>
        <v>433.51274999999998</v>
      </c>
      <c r="AC19">
        <f t="shared" si="11"/>
        <v>4.3351274999999996</v>
      </c>
      <c r="AD19">
        <f t="shared" si="12"/>
        <v>12.537500000000001</v>
      </c>
      <c r="AE19">
        <f t="shared" si="13"/>
        <v>16.8726275</v>
      </c>
      <c r="AF19">
        <f t="shared" si="14"/>
        <v>87.878</v>
      </c>
      <c r="AG19">
        <f t="shared" si="15"/>
        <v>319.81714285714287</v>
      </c>
      <c r="AI19">
        <f t="shared" si="16"/>
        <v>64.054820528033233</v>
      </c>
    </row>
    <row r="20" spans="1:35" x14ac:dyDescent="0.35">
      <c r="A20">
        <v>19</v>
      </c>
      <c r="B20">
        <v>70</v>
      </c>
      <c r="C20">
        <v>12</v>
      </c>
      <c r="D20">
        <v>17</v>
      </c>
      <c r="E20">
        <f t="shared" si="1"/>
        <v>22</v>
      </c>
      <c r="F20">
        <f t="shared" si="23"/>
        <v>48</v>
      </c>
      <c r="G20">
        <f t="shared" ref="G20" si="24">G11+5</f>
        <v>35.89</v>
      </c>
      <c r="H20">
        <v>8.89</v>
      </c>
      <c r="I20">
        <v>17.13</v>
      </c>
      <c r="J20">
        <v>45</v>
      </c>
      <c r="K20">
        <v>10.5</v>
      </c>
      <c r="L20">
        <f t="shared" si="0"/>
        <v>17</v>
      </c>
      <c r="M20" s="1">
        <f t="shared" si="2"/>
        <v>3.4</v>
      </c>
      <c r="N20" s="1">
        <f t="shared" si="3"/>
        <v>4</v>
      </c>
      <c r="O20">
        <f t="shared" si="4"/>
        <v>2328.1474200291377</v>
      </c>
      <c r="P20">
        <v>5</v>
      </c>
      <c r="Q20">
        <f t="shared" si="5"/>
        <v>4.88</v>
      </c>
      <c r="R20">
        <v>109.04</v>
      </c>
      <c r="S20">
        <v>378.03</v>
      </c>
      <c r="T20">
        <v>1.5989</v>
      </c>
      <c r="U20">
        <v>16.18</v>
      </c>
      <c r="V20">
        <f t="shared" si="6"/>
        <v>26.324999999999999</v>
      </c>
      <c r="W20">
        <f t="shared" si="7"/>
        <v>132.5</v>
      </c>
      <c r="X20">
        <v>55</v>
      </c>
      <c r="Y20">
        <f t="shared" si="8"/>
        <v>17</v>
      </c>
      <c r="Z20">
        <f t="shared" si="9"/>
        <v>123887.5</v>
      </c>
      <c r="AA20">
        <v>2.81E-3</v>
      </c>
      <c r="AB20">
        <f t="shared" si="10"/>
        <v>348.123875</v>
      </c>
      <c r="AC20">
        <f t="shared" si="11"/>
        <v>3.4812387500000002</v>
      </c>
      <c r="AD20">
        <f t="shared" si="12"/>
        <v>13.1625</v>
      </c>
      <c r="AE20">
        <f t="shared" si="13"/>
        <v>16.643738750000001</v>
      </c>
      <c r="AF20">
        <f t="shared" si="14"/>
        <v>76.328000000000003</v>
      </c>
      <c r="AG20">
        <f t="shared" si="15"/>
        <v>256.82285714285717</v>
      </c>
      <c r="AI20">
        <f t="shared" si="16"/>
        <v>55.635953722930886</v>
      </c>
    </row>
    <row r="21" spans="1:35" x14ac:dyDescent="0.35">
      <c r="A21">
        <v>20</v>
      </c>
      <c r="B21">
        <v>70</v>
      </c>
      <c r="C21">
        <v>12</v>
      </c>
      <c r="D21">
        <v>12</v>
      </c>
      <c r="E21">
        <f t="shared" si="1"/>
        <v>17</v>
      </c>
      <c r="F21">
        <f t="shared" ref="F21:G21" si="25">F12+5</f>
        <v>53</v>
      </c>
      <c r="G21">
        <f t="shared" si="25"/>
        <v>37.96</v>
      </c>
      <c r="H21">
        <v>15.96</v>
      </c>
      <c r="I21">
        <v>21.27</v>
      </c>
      <c r="J21">
        <v>45</v>
      </c>
      <c r="K21">
        <v>15.5</v>
      </c>
      <c r="L21">
        <f t="shared" si="0"/>
        <v>17</v>
      </c>
      <c r="M21" s="1">
        <f t="shared" si="2"/>
        <v>3.4</v>
      </c>
      <c r="N21" s="1">
        <f t="shared" si="3"/>
        <v>4</v>
      </c>
      <c r="O21">
        <f t="shared" si="4"/>
        <v>2818.3254425124737</v>
      </c>
      <c r="P21">
        <v>5</v>
      </c>
      <c r="Q21">
        <f t="shared" si="5"/>
        <v>5.9</v>
      </c>
      <c r="R21">
        <v>98.25</v>
      </c>
      <c r="S21">
        <v>409.98</v>
      </c>
      <c r="T21">
        <v>1.8585</v>
      </c>
      <c r="U21">
        <v>9.8699999999999992</v>
      </c>
      <c r="V21">
        <f t="shared" si="6"/>
        <v>19.712499999999999</v>
      </c>
      <c r="W21">
        <f t="shared" si="7"/>
        <v>132.5</v>
      </c>
      <c r="X21">
        <v>55</v>
      </c>
      <c r="Y21">
        <f t="shared" si="8"/>
        <v>17</v>
      </c>
      <c r="Z21">
        <f t="shared" si="9"/>
        <v>123887.5</v>
      </c>
      <c r="AA21">
        <v>2.81E-3</v>
      </c>
      <c r="AB21">
        <f t="shared" si="10"/>
        <v>348.123875</v>
      </c>
      <c r="AC21">
        <f t="shared" si="11"/>
        <v>3.4812387500000002</v>
      </c>
      <c r="AD21">
        <f t="shared" si="12"/>
        <v>9.8562499999999993</v>
      </c>
      <c r="AE21">
        <f t="shared" si="13"/>
        <v>13.337488749999999</v>
      </c>
      <c r="AF21">
        <f t="shared" si="14"/>
        <v>68.774999999999991</v>
      </c>
      <c r="AG21">
        <f t="shared" si="15"/>
        <v>256.82285714285717</v>
      </c>
      <c r="AI21">
        <f t="shared" si="16"/>
        <v>50.130525066745776</v>
      </c>
    </row>
    <row r="22" spans="1:35" x14ac:dyDescent="0.35">
      <c r="A22">
        <v>21</v>
      </c>
      <c r="B22">
        <v>70</v>
      </c>
      <c r="C22">
        <v>12</v>
      </c>
      <c r="D22">
        <v>16</v>
      </c>
      <c r="E22">
        <f t="shared" si="1"/>
        <v>21</v>
      </c>
      <c r="F22">
        <f t="shared" ref="F22:G22" si="26">F13+5</f>
        <v>49</v>
      </c>
      <c r="G22">
        <f t="shared" si="26"/>
        <v>36.299999999999997</v>
      </c>
      <c r="H22">
        <v>10.3</v>
      </c>
      <c r="I22">
        <v>17.96</v>
      </c>
      <c r="J22">
        <v>45</v>
      </c>
      <c r="K22">
        <v>11.5</v>
      </c>
      <c r="L22">
        <f t="shared" si="0"/>
        <v>17</v>
      </c>
      <c r="M22" s="1">
        <f t="shared" si="2"/>
        <v>3.4</v>
      </c>
      <c r="N22" s="1">
        <f t="shared" si="3"/>
        <v>4</v>
      </c>
      <c r="O22">
        <f t="shared" si="4"/>
        <v>2415.688214218625</v>
      </c>
      <c r="P22">
        <v>5</v>
      </c>
      <c r="Q22">
        <f t="shared" si="5"/>
        <v>5.0599999999999996</v>
      </c>
      <c r="R22">
        <v>107.06</v>
      </c>
      <c r="S22">
        <v>391.69</v>
      </c>
      <c r="T22">
        <v>1.6297999999999999</v>
      </c>
      <c r="U22">
        <v>15.01</v>
      </c>
      <c r="V22">
        <f t="shared" si="6"/>
        <v>25.087499999999999</v>
      </c>
      <c r="W22">
        <f t="shared" si="7"/>
        <v>132.5</v>
      </c>
      <c r="X22">
        <v>55</v>
      </c>
      <c r="Y22">
        <f t="shared" si="8"/>
        <v>17</v>
      </c>
      <c r="Z22">
        <f t="shared" si="9"/>
        <v>123887.5</v>
      </c>
      <c r="AA22">
        <v>2.81E-3</v>
      </c>
      <c r="AB22">
        <f t="shared" si="10"/>
        <v>348.123875</v>
      </c>
      <c r="AC22">
        <f t="shared" si="11"/>
        <v>3.4812387500000002</v>
      </c>
      <c r="AD22">
        <f t="shared" si="12"/>
        <v>12.543749999999999</v>
      </c>
      <c r="AE22">
        <f t="shared" si="13"/>
        <v>16.024988749999999</v>
      </c>
      <c r="AF22">
        <f t="shared" si="14"/>
        <v>74.941999999999993</v>
      </c>
      <c r="AG22">
        <f t="shared" si="15"/>
        <v>256.82285714285717</v>
      </c>
      <c r="AI22">
        <f t="shared" si="16"/>
        <v>54.625689706318603</v>
      </c>
    </row>
    <row r="23" spans="1:35" x14ac:dyDescent="0.35">
      <c r="A23">
        <v>22</v>
      </c>
      <c r="B23">
        <v>70</v>
      </c>
      <c r="C23">
        <v>14</v>
      </c>
      <c r="D23">
        <v>17</v>
      </c>
      <c r="E23">
        <f t="shared" si="1"/>
        <v>22</v>
      </c>
      <c r="F23">
        <f t="shared" ref="F23:G23" si="27">F14+5</f>
        <v>48</v>
      </c>
      <c r="G23">
        <f t="shared" si="27"/>
        <v>35.89</v>
      </c>
      <c r="H23">
        <v>8.89</v>
      </c>
      <c r="I23">
        <v>17.13</v>
      </c>
      <c r="J23">
        <v>45</v>
      </c>
      <c r="K23">
        <v>10.5</v>
      </c>
      <c r="L23">
        <f t="shared" si="0"/>
        <v>19</v>
      </c>
      <c r="M23" s="1">
        <f t="shared" si="2"/>
        <v>3.8</v>
      </c>
      <c r="N23" s="1">
        <f t="shared" si="3"/>
        <v>4</v>
      </c>
      <c r="O23">
        <f t="shared" si="4"/>
        <v>2328.1474200291377</v>
      </c>
      <c r="P23">
        <v>5</v>
      </c>
      <c r="Q23">
        <f t="shared" si="5"/>
        <v>4.88</v>
      </c>
      <c r="R23">
        <v>118.33</v>
      </c>
      <c r="S23">
        <v>291.8</v>
      </c>
      <c r="T23">
        <v>1.1440999999999999</v>
      </c>
      <c r="U23">
        <v>16.18</v>
      </c>
      <c r="V23">
        <f t="shared" si="6"/>
        <v>26.324999999999999</v>
      </c>
      <c r="W23">
        <f t="shared" si="7"/>
        <v>132.5</v>
      </c>
      <c r="X23">
        <v>55</v>
      </c>
      <c r="Y23">
        <f t="shared" si="8"/>
        <v>19</v>
      </c>
      <c r="Z23">
        <f t="shared" si="9"/>
        <v>138462.5</v>
      </c>
      <c r="AA23">
        <v>2.81E-3</v>
      </c>
      <c r="AB23">
        <f t="shared" si="10"/>
        <v>389.07962500000002</v>
      </c>
      <c r="AC23">
        <f t="shared" si="11"/>
        <v>3.8907962500000002</v>
      </c>
      <c r="AD23">
        <f t="shared" si="12"/>
        <v>13.1625</v>
      </c>
      <c r="AE23">
        <f t="shared" si="13"/>
        <v>17.053296249999999</v>
      </c>
      <c r="AF23">
        <f t="shared" si="14"/>
        <v>82.830999999999989</v>
      </c>
      <c r="AG23">
        <f t="shared" si="15"/>
        <v>287.03731092436976</v>
      </c>
      <c r="AI23">
        <f t="shared" si="16"/>
        <v>60.376030851379412</v>
      </c>
    </row>
    <row r="24" spans="1:35" x14ac:dyDescent="0.35">
      <c r="A24">
        <v>23</v>
      </c>
      <c r="B24">
        <v>70</v>
      </c>
      <c r="C24">
        <v>14</v>
      </c>
      <c r="D24">
        <v>12</v>
      </c>
      <c r="E24">
        <f t="shared" si="1"/>
        <v>17</v>
      </c>
      <c r="F24">
        <f t="shared" ref="F24:G24" si="28">F15+5</f>
        <v>53</v>
      </c>
      <c r="G24">
        <f t="shared" si="28"/>
        <v>37.96</v>
      </c>
      <c r="H24">
        <v>15.96</v>
      </c>
      <c r="I24">
        <v>21.27</v>
      </c>
      <c r="J24">
        <v>45</v>
      </c>
      <c r="K24">
        <v>15.5</v>
      </c>
      <c r="L24">
        <f t="shared" si="0"/>
        <v>19</v>
      </c>
      <c r="M24" s="1">
        <f t="shared" si="2"/>
        <v>3.8</v>
      </c>
      <c r="N24" s="1">
        <f t="shared" si="3"/>
        <v>4</v>
      </c>
      <c r="O24">
        <f t="shared" si="4"/>
        <v>2818.3254425124737</v>
      </c>
      <c r="P24">
        <v>5</v>
      </c>
      <c r="Q24">
        <f t="shared" si="5"/>
        <v>5.9</v>
      </c>
      <c r="R24">
        <v>107.54</v>
      </c>
      <c r="S24">
        <v>302.47000000000003</v>
      </c>
      <c r="T24">
        <v>1.3042</v>
      </c>
      <c r="U24">
        <v>9.8699999999999992</v>
      </c>
      <c r="V24">
        <f t="shared" si="6"/>
        <v>19.712499999999999</v>
      </c>
      <c r="W24">
        <f t="shared" si="7"/>
        <v>132.5</v>
      </c>
      <c r="X24">
        <v>55</v>
      </c>
      <c r="Y24">
        <f t="shared" si="8"/>
        <v>19</v>
      </c>
      <c r="Z24">
        <f t="shared" si="9"/>
        <v>138462.5</v>
      </c>
      <c r="AA24">
        <v>2.81E-3</v>
      </c>
      <c r="AB24">
        <f t="shared" si="10"/>
        <v>389.07962500000002</v>
      </c>
      <c r="AC24">
        <f t="shared" si="11"/>
        <v>3.8907962500000002</v>
      </c>
      <c r="AD24">
        <f t="shared" si="12"/>
        <v>9.8562499999999993</v>
      </c>
      <c r="AE24">
        <f t="shared" si="13"/>
        <v>13.74704625</v>
      </c>
      <c r="AF24">
        <f t="shared" si="14"/>
        <v>75.278000000000006</v>
      </c>
      <c r="AG24">
        <f t="shared" si="15"/>
        <v>287.03731092436976</v>
      </c>
      <c r="AI24">
        <f t="shared" si="16"/>
        <v>54.870602195194309</v>
      </c>
    </row>
    <row r="25" spans="1:35" x14ac:dyDescent="0.35">
      <c r="A25">
        <v>24</v>
      </c>
      <c r="B25">
        <v>70</v>
      </c>
      <c r="C25">
        <v>14</v>
      </c>
      <c r="D25">
        <v>16</v>
      </c>
      <c r="E25">
        <f t="shared" si="1"/>
        <v>21</v>
      </c>
      <c r="F25">
        <f t="shared" ref="F25:G25" si="29">F16+5</f>
        <v>49</v>
      </c>
      <c r="G25">
        <f t="shared" si="29"/>
        <v>36.299999999999997</v>
      </c>
      <c r="H25">
        <v>10.3</v>
      </c>
      <c r="I25">
        <v>17.96</v>
      </c>
      <c r="J25">
        <v>45</v>
      </c>
      <c r="K25">
        <v>11.5</v>
      </c>
      <c r="L25">
        <f t="shared" si="0"/>
        <v>19</v>
      </c>
      <c r="M25" s="1">
        <f t="shared" si="2"/>
        <v>3.8</v>
      </c>
      <c r="N25" s="1">
        <f t="shared" si="3"/>
        <v>4</v>
      </c>
      <c r="O25">
        <f t="shared" si="4"/>
        <v>2415.688214218625</v>
      </c>
      <c r="P25">
        <v>5</v>
      </c>
      <c r="Q25">
        <f t="shared" si="5"/>
        <v>5.0599999999999996</v>
      </c>
      <c r="R25">
        <v>116.36</v>
      </c>
      <c r="S25">
        <v>301</v>
      </c>
      <c r="T25">
        <v>1.1629</v>
      </c>
      <c r="U25">
        <v>15.01</v>
      </c>
      <c r="V25">
        <f t="shared" si="6"/>
        <v>25.087499999999999</v>
      </c>
      <c r="W25">
        <f t="shared" si="7"/>
        <v>132.5</v>
      </c>
      <c r="X25">
        <v>55</v>
      </c>
      <c r="Y25">
        <f t="shared" si="8"/>
        <v>19</v>
      </c>
      <c r="Z25">
        <f t="shared" si="9"/>
        <v>138462.5</v>
      </c>
      <c r="AA25">
        <v>2.81E-3</v>
      </c>
      <c r="AB25">
        <f t="shared" si="10"/>
        <v>389.07962500000002</v>
      </c>
      <c r="AC25">
        <f t="shared" si="11"/>
        <v>3.8907962500000002</v>
      </c>
      <c r="AD25">
        <f t="shared" si="12"/>
        <v>12.543749999999999</v>
      </c>
      <c r="AE25">
        <f t="shared" si="13"/>
        <v>16.43454625</v>
      </c>
      <c r="AF25">
        <f t="shared" si="14"/>
        <v>81.451999999999998</v>
      </c>
      <c r="AG25">
        <f t="shared" si="15"/>
        <v>287.03731092436976</v>
      </c>
      <c r="AI25">
        <f t="shared" si="16"/>
        <v>59.370869178285375</v>
      </c>
    </row>
    <row r="26" spans="1:35" x14ac:dyDescent="0.35">
      <c r="A26">
        <v>25</v>
      </c>
      <c r="B26">
        <v>70</v>
      </c>
      <c r="C26">
        <v>17</v>
      </c>
      <c r="D26">
        <v>17</v>
      </c>
      <c r="E26">
        <f t="shared" si="1"/>
        <v>22</v>
      </c>
      <c r="F26">
        <f t="shared" ref="F26:G26" si="30">F17+5</f>
        <v>48</v>
      </c>
      <c r="G26">
        <f t="shared" si="30"/>
        <v>35.89</v>
      </c>
      <c r="H26">
        <v>8.89</v>
      </c>
      <c r="I26">
        <v>17.13</v>
      </c>
      <c r="J26">
        <v>45</v>
      </c>
      <c r="K26">
        <v>10.5</v>
      </c>
      <c r="L26">
        <f t="shared" si="0"/>
        <v>22</v>
      </c>
      <c r="M26" s="1">
        <f t="shared" si="2"/>
        <v>4.4000000000000004</v>
      </c>
      <c r="N26" s="1">
        <f t="shared" si="3"/>
        <v>5</v>
      </c>
      <c r="O26">
        <f t="shared" si="4"/>
        <v>2328.1474200291377</v>
      </c>
      <c r="P26">
        <v>5</v>
      </c>
      <c r="Q26">
        <f t="shared" si="5"/>
        <v>6.1</v>
      </c>
      <c r="R26">
        <v>132.28</v>
      </c>
      <c r="S26">
        <v>324.45</v>
      </c>
      <c r="T26">
        <v>0.79679999999999995</v>
      </c>
      <c r="U26">
        <v>16.2</v>
      </c>
      <c r="V26">
        <f t="shared" si="6"/>
        <v>27.874999999999996</v>
      </c>
      <c r="W26">
        <f t="shared" si="7"/>
        <v>132.5</v>
      </c>
      <c r="X26">
        <v>55</v>
      </c>
      <c r="Y26">
        <f t="shared" si="8"/>
        <v>22</v>
      </c>
      <c r="Z26">
        <f t="shared" si="9"/>
        <v>160325</v>
      </c>
      <c r="AA26">
        <v>2.81E-3</v>
      </c>
      <c r="AB26">
        <f t="shared" si="10"/>
        <v>450.51325000000003</v>
      </c>
      <c r="AC26">
        <f t="shared" si="11"/>
        <v>4.5051325000000002</v>
      </c>
      <c r="AD26">
        <f t="shared" si="12"/>
        <v>13.937499999999998</v>
      </c>
      <c r="AE26">
        <f t="shared" si="13"/>
        <v>18.442632499999998</v>
      </c>
      <c r="AF26">
        <f t="shared" si="14"/>
        <v>92.595999999999989</v>
      </c>
      <c r="AG26">
        <f t="shared" si="15"/>
        <v>332.3589915966387</v>
      </c>
      <c r="AI26">
        <f t="shared" si="16"/>
        <v>67.493800059329573</v>
      </c>
    </row>
    <row r="27" spans="1:35" x14ac:dyDescent="0.35">
      <c r="A27">
        <v>26</v>
      </c>
      <c r="B27">
        <v>70</v>
      </c>
      <c r="C27">
        <v>17</v>
      </c>
      <c r="D27">
        <v>12</v>
      </c>
      <c r="E27">
        <f t="shared" si="1"/>
        <v>17</v>
      </c>
      <c r="F27">
        <f t="shared" ref="F27:G27" si="31">F18+5</f>
        <v>53</v>
      </c>
      <c r="G27">
        <f t="shared" si="31"/>
        <v>37.96</v>
      </c>
      <c r="H27">
        <v>15.96</v>
      </c>
      <c r="I27">
        <v>21.27</v>
      </c>
      <c r="J27">
        <v>45</v>
      </c>
      <c r="K27">
        <v>15.5</v>
      </c>
      <c r="L27">
        <f t="shared" si="0"/>
        <v>22</v>
      </c>
      <c r="M27" s="1">
        <f t="shared" si="2"/>
        <v>4.4000000000000004</v>
      </c>
      <c r="N27" s="1">
        <f t="shared" si="3"/>
        <v>5</v>
      </c>
      <c r="O27">
        <f t="shared" si="4"/>
        <v>2818.3254425124737</v>
      </c>
      <c r="P27">
        <v>5</v>
      </c>
      <c r="Q27">
        <f t="shared" si="5"/>
        <v>7.38</v>
      </c>
      <c r="R27">
        <v>121.48</v>
      </c>
      <c r="S27">
        <v>332.07</v>
      </c>
      <c r="T27">
        <v>0.88800000000000001</v>
      </c>
      <c r="U27">
        <v>9.8800000000000008</v>
      </c>
      <c r="V27">
        <f t="shared" si="6"/>
        <v>21.575000000000003</v>
      </c>
      <c r="W27">
        <f t="shared" si="7"/>
        <v>132.5</v>
      </c>
      <c r="X27">
        <v>55</v>
      </c>
      <c r="Y27">
        <f t="shared" si="8"/>
        <v>22</v>
      </c>
      <c r="Z27">
        <f t="shared" si="9"/>
        <v>160325</v>
      </c>
      <c r="AA27">
        <v>2.81E-3</v>
      </c>
      <c r="AB27">
        <f t="shared" si="10"/>
        <v>450.51325000000003</v>
      </c>
      <c r="AC27">
        <f t="shared" si="11"/>
        <v>4.5051325000000002</v>
      </c>
      <c r="AD27">
        <f t="shared" si="12"/>
        <v>10.787500000000001</v>
      </c>
      <c r="AE27">
        <f t="shared" si="13"/>
        <v>15.292632500000002</v>
      </c>
      <c r="AF27">
        <f t="shared" si="14"/>
        <v>85.036000000000001</v>
      </c>
      <c r="AG27">
        <f t="shared" si="15"/>
        <v>332.3589915966387</v>
      </c>
      <c r="AI27">
        <f t="shared" si="16"/>
        <v>61.983269059626231</v>
      </c>
    </row>
    <row r="28" spans="1:35" x14ac:dyDescent="0.35">
      <c r="A28">
        <v>27</v>
      </c>
      <c r="B28">
        <v>70</v>
      </c>
      <c r="C28">
        <v>17</v>
      </c>
      <c r="D28">
        <v>16</v>
      </c>
      <c r="E28">
        <f t="shared" si="1"/>
        <v>21</v>
      </c>
      <c r="F28">
        <f t="shared" ref="F28:G28" si="32">F19+5</f>
        <v>49</v>
      </c>
      <c r="G28">
        <f t="shared" si="32"/>
        <v>36.299999999999997</v>
      </c>
      <c r="H28">
        <v>10.3</v>
      </c>
      <c r="I28">
        <v>17.96</v>
      </c>
      <c r="J28">
        <v>45</v>
      </c>
      <c r="K28">
        <v>11.5</v>
      </c>
      <c r="L28">
        <f t="shared" si="0"/>
        <v>22</v>
      </c>
      <c r="M28" s="1">
        <f t="shared" si="2"/>
        <v>4.4000000000000004</v>
      </c>
      <c r="N28" s="1">
        <f t="shared" si="3"/>
        <v>5</v>
      </c>
      <c r="O28">
        <f t="shared" si="4"/>
        <v>2415.688214218625</v>
      </c>
      <c r="P28">
        <v>5</v>
      </c>
      <c r="Q28">
        <f t="shared" si="5"/>
        <v>6.32</v>
      </c>
      <c r="R28">
        <v>130.30000000000001</v>
      </c>
      <c r="S28">
        <v>325.05</v>
      </c>
      <c r="T28">
        <v>0.80800000000000005</v>
      </c>
      <c r="U28">
        <v>15.03</v>
      </c>
      <c r="V28">
        <f t="shared" si="6"/>
        <v>26.6875</v>
      </c>
      <c r="W28">
        <f t="shared" si="7"/>
        <v>132.5</v>
      </c>
      <c r="X28">
        <v>55</v>
      </c>
      <c r="Y28">
        <f t="shared" si="8"/>
        <v>22</v>
      </c>
      <c r="Z28">
        <f t="shared" si="9"/>
        <v>160325</v>
      </c>
      <c r="AA28">
        <v>2.81E-3</v>
      </c>
      <c r="AB28">
        <f t="shared" si="10"/>
        <v>450.51325000000003</v>
      </c>
      <c r="AC28">
        <f t="shared" si="11"/>
        <v>4.5051325000000002</v>
      </c>
      <c r="AD28">
        <f t="shared" si="12"/>
        <v>13.34375</v>
      </c>
      <c r="AE28">
        <f t="shared" si="13"/>
        <v>17.848882500000002</v>
      </c>
      <c r="AF28">
        <f t="shared" si="14"/>
        <v>91.210000000000008</v>
      </c>
      <c r="AG28">
        <f t="shared" si="15"/>
        <v>332.3589915966387</v>
      </c>
      <c r="AI28">
        <f t="shared" si="16"/>
        <v>66.483536042717304</v>
      </c>
    </row>
    <row r="29" spans="1:35" x14ac:dyDescent="0.35">
      <c r="N29" s="1"/>
    </row>
    <row r="30" spans="1:35" x14ac:dyDescent="0.35">
      <c r="N30" s="1"/>
    </row>
    <row r="31" spans="1:35" x14ac:dyDescent="0.35">
      <c r="N31" s="1"/>
    </row>
    <row r="32" spans="1:35" x14ac:dyDescent="0.35">
      <c r="N32" s="1"/>
    </row>
    <row r="33" spans="14:14" x14ac:dyDescent="0.35">
      <c r="N33" s="1"/>
    </row>
    <row r="34" spans="14:14" x14ac:dyDescent="0.35">
      <c r="N34" s="1"/>
    </row>
    <row r="35" spans="14:14" x14ac:dyDescent="0.35">
      <c r="N35" s="1"/>
    </row>
    <row r="36" spans="14:14" x14ac:dyDescent="0.35">
      <c r="N36" s="1"/>
    </row>
    <row r="37" spans="14:14" x14ac:dyDescent="0.35">
      <c r="N37" s="1"/>
    </row>
    <row r="38" spans="14:14" x14ac:dyDescent="0.35">
      <c r="N38" s="1"/>
    </row>
    <row r="39" spans="14:14" x14ac:dyDescent="0.35">
      <c r="N39" s="1"/>
    </row>
    <row r="40" spans="14:14" x14ac:dyDescent="0.35">
      <c r="N4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Dataset_Simulaciones_FEA_CAM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Vital</dc:creator>
  <cp:lastModifiedBy>Antonio Vital</cp:lastModifiedBy>
  <dcterms:created xsi:type="dcterms:W3CDTF">2026-04-06T12:08:15Z</dcterms:created>
  <dcterms:modified xsi:type="dcterms:W3CDTF">2026-04-22T17:41:28Z</dcterms:modified>
</cp:coreProperties>
</file>